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5f00fe6a7d169dd8/Documents/Data/"/>
    </mc:Choice>
  </mc:AlternateContent>
  <xr:revisionPtr revIDLastSave="0" documentId="8_{E3E7741B-DFE9-45AE-B867-885B214F122A}" xr6:coauthVersionLast="47" xr6:coauthVersionMax="47" xr10:uidLastSave="{00000000-0000-0000-0000-000000000000}"/>
  <bookViews>
    <workbookView xWindow="-120" yWindow="-120" windowWidth="29040" windowHeight="15720" firstSheet="3" activeTab="10" xr2:uid="{54E00856-DA4A-4733-A093-64BACD801E9C}"/>
  </bookViews>
  <sheets>
    <sheet name="HOME" sheetId="5" r:id="rId1"/>
    <sheet name="JOB_DATABASE" sheetId="1" r:id="rId2"/>
    <sheet name="PIVOT_ANALYSIS" sheetId="10" r:id="rId3"/>
    <sheet name="PIVOT_ANALYSIS1" sheetId="11" r:id="rId4"/>
    <sheet name="PIVOT_ROLE" sheetId="12" r:id="rId5"/>
    <sheet name="APPLICATIONS" sheetId="2" r:id="rId6"/>
    <sheet name="PIVOT_INTERVIEW" sheetId="13" r:id="rId7"/>
    <sheet name="INTERVIEWS" sheetId="3" r:id="rId8"/>
    <sheet name="DASHBOARD" sheetId="4" r:id="rId9"/>
    <sheet name="SKILL_DATABASE" sheetId="9" r:id="rId10"/>
    <sheet name="WHAT_IF" sheetId="14" r:id="rId11"/>
  </sheets>
  <definedNames>
    <definedName name="Slicer_Status">#N/A</definedName>
  </definedNames>
  <calcPr calcId="191029"/>
  <pivotCaches>
    <pivotCache cacheId="0" r:id="rId12"/>
    <pivotCache cacheId="1"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3" i="4" l="1"/>
  <c r="C43" i="4" s="1"/>
  <c r="C46" i="4" s="1"/>
  <c r="C39" i="4"/>
  <c r="C38" i="4"/>
  <c r="C37" i="4"/>
  <c r="C36" i="4"/>
  <c r="C35" i="4"/>
  <c r="C34" i="4"/>
  <c r="C33" i="4"/>
  <c r="C32" i="4"/>
  <c r="C31" i="4"/>
  <c r="D9" i="4"/>
  <c r="B9" i="4"/>
  <c r="F6" i="4"/>
  <c r="D6" i="4"/>
  <c r="B6" i="4"/>
  <c r="B13" i="14"/>
  <c r="B12" i="14"/>
  <c r="B11" i="14"/>
  <c r="B10" i="14"/>
  <c r="B9" i="14" a="1"/>
  <c r="B9" i="14" s="1"/>
  <c r="B8" i="14"/>
  <c r="E5" i="14"/>
  <c r="E4" i="14"/>
  <c r="E3" i="14"/>
  <c r="E2" i="14"/>
  <c r="E3" i="9"/>
  <c r="E4" i="9"/>
  <c r="E5" i="9"/>
  <c r="E6" i="9"/>
  <c r="E2" i="9"/>
  <c r="D3" i="9"/>
  <c r="D4" i="9"/>
  <c r="D5" i="9"/>
  <c r="D6" i="9"/>
  <c r="D2" i="9"/>
  <c r="C6" i="9"/>
  <c r="C4" i="9"/>
  <c r="C5" i="9"/>
  <c r="C3" i="9"/>
  <c r="C2" i="9"/>
  <c r="I2" i="3"/>
  <c r="D2" i="2"/>
  <c r="C2" i="2"/>
  <c r="G2" i="2"/>
  <c r="H2" i="2" s="1"/>
  <c r="G3" i="2"/>
  <c r="H3" i="2" s="1"/>
  <c r="G4" i="2"/>
  <c r="H4" i="2" s="1"/>
  <c r="G5" i="2"/>
  <c r="H5" i="2" s="1"/>
  <c r="G6" i="2"/>
  <c r="H6" i="2" s="1"/>
  <c r="U5" i="1"/>
  <c r="U6" i="1"/>
  <c r="S2" i="1"/>
  <c r="S3" i="1"/>
  <c r="S4" i="1"/>
  <c r="S5" i="1"/>
  <c r="S6" i="1"/>
  <c r="Q2" i="1"/>
  <c r="Q3" i="1"/>
  <c r="Q4" i="1"/>
  <c r="Q5" i="1"/>
  <c r="Q6" i="1"/>
  <c r="P2" i="1"/>
  <c r="P3" i="1"/>
  <c r="P4" i="1"/>
  <c r="P5" i="1"/>
  <c r="P6" i="1"/>
  <c r="O2" i="1"/>
  <c r="T2" i="1" s="1"/>
  <c r="U2" i="1" s="1"/>
  <c r="O3" i="1"/>
  <c r="O4" i="1"/>
  <c r="O5" i="1"/>
  <c r="O6" i="1"/>
  <c r="I3" i="1"/>
  <c r="I4" i="1"/>
  <c r="I5" i="1"/>
  <c r="T5" i="1" s="1"/>
  <c r="I6" i="1"/>
  <c r="T6" i="1" s="1"/>
  <c r="I2" i="1"/>
  <c r="C44" i="4" l="1"/>
  <c r="C45" i="4"/>
  <c r="T3" i="1"/>
  <c r="U3" i="1" s="1"/>
  <c r="T4" i="1"/>
  <c r="U4" i="1" s="1"/>
  <c r="R2" i="1"/>
  <c r="R4" i="1"/>
  <c r="R5" i="1"/>
  <c r="R6" i="1"/>
  <c r="R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<sst xmlns="http://schemas.openxmlformats.org/spreadsheetml/2006/main" count="199" uniqueCount="107">
  <si>
    <t>Job ID</t>
  </si>
  <si>
    <t>Company</t>
  </si>
  <si>
    <t>Job Role</t>
  </si>
  <si>
    <t>Industry</t>
  </si>
  <si>
    <t>Location</t>
  </si>
  <si>
    <t>Work Mode</t>
  </si>
  <si>
    <t>Salary</t>
  </si>
  <si>
    <t>Status</t>
  </si>
  <si>
    <t>J001</t>
  </si>
  <si>
    <t>ABC Tech</t>
  </si>
  <si>
    <t>Data Analyst</t>
  </si>
  <si>
    <t>Banking</t>
  </si>
  <si>
    <t>Chennai</t>
  </si>
  <si>
    <t>Hybrid</t>
  </si>
  <si>
    <t>Applied</t>
  </si>
  <si>
    <t>J002</t>
  </si>
  <si>
    <t>XYZ Ltd</t>
  </si>
  <si>
    <t>Business Analyst</t>
  </si>
  <si>
    <t>Finance</t>
  </si>
  <si>
    <t>Bangalore</t>
  </si>
  <si>
    <t>Office</t>
  </si>
  <si>
    <t>Interview</t>
  </si>
  <si>
    <t>J003</t>
  </si>
  <si>
    <t>GreenCare</t>
  </si>
  <si>
    <t>Healthcare</t>
  </si>
  <si>
    <t>Coimbatore</t>
  </si>
  <si>
    <t>Remote</t>
  </si>
  <si>
    <t>Not Applied</t>
  </si>
  <si>
    <t>J004</t>
  </si>
  <si>
    <t>TechPro</t>
  </si>
  <si>
    <t>MIS Analyst</t>
  </si>
  <si>
    <t>IT</t>
  </si>
  <si>
    <t>J005</t>
  </si>
  <si>
    <t>FinServe</t>
  </si>
  <si>
    <t>Finance Analyst</t>
  </si>
  <si>
    <t>Excel</t>
  </si>
  <si>
    <t>SQL</t>
  </si>
  <si>
    <t>Power BI</t>
  </si>
  <si>
    <t>Python</t>
  </si>
  <si>
    <t>AWS</t>
  </si>
  <si>
    <t>Skill</t>
  </si>
  <si>
    <t>My Skill</t>
  </si>
  <si>
    <t>Skill Match %</t>
  </si>
  <si>
    <t>Salary Score</t>
  </si>
  <si>
    <t>Location Score</t>
  </si>
  <si>
    <t>Work Mode Score</t>
  </si>
  <si>
    <t>Final Score</t>
  </si>
  <si>
    <t>Learning Score</t>
  </si>
  <si>
    <t>Final</t>
  </si>
  <si>
    <t>Recommendation</t>
  </si>
  <si>
    <t>Application ID</t>
  </si>
  <si>
    <t>Applied Date</t>
  </si>
  <si>
    <t>Days Waiting</t>
  </si>
  <si>
    <t>Follow Up</t>
  </si>
  <si>
    <t>Interview Date</t>
  </si>
  <si>
    <t>Result</t>
  </si>
  <si>
    <t>A001</t>
  </si>
  <si>
    <t>A002</t>
  </si>
  <si>
    <t>A003</t>
  </si>
  <si>
    <t>A004</t>
  </si>
  <si>
    <t>A005</t>
  </si>
  <si>
    <t>Rejected</t>
  </si>
  <si>
    <t>Pending</t>
  </si>
  <si>
    <t>Interview ID</t>
  </si>
  <si>
    <t>Round</t>
  </si>
  <si>
    <t>Technical</t>
  </si>
  <si>
    <t>Communication</t>
  </si>
  <si>
    <t>INT001</t>
  </si>
  <si>
    <t>HR</t>
  </si>
  <si>
    <t>Overall Score</t>
  </si>
  <si>
    <t>Weak Area</t>
  </si>
  <si>
    <t>Row Labels</t>
  </si>
  <si>
    <t>Grand Total</t>
  </si>
  <si>
    <t>Count of Application ID</t>
  </si>
  <si>
    <t>Average of Technical</t>
  </si>
  <si>
    <t>Average of Communication</t>
  </si>
  <si>
    <t>Average of Overall Score</t>
  </si>
  <si>
    <t>Jobs Requiring Skill</t>
  </si>
  <si>
    <t>Priority</t>
  </si>
  <si>
    <t>Action</t>
  </si>
  <si>
    <t>Scenario</t>
  </si>
  <si>
    <t>Current</t>
  </si>
  <si>
    <t>SQL Focus</t>
  </si>
  <si>
    <t>Power BI Focus</t>
  </si>
  <si>
    <t>All Improved</t>
  </si>
  <si>
    <t>Test Job ID</t>
  </si>
  <si>
    <t>Required Skills</t>
  </si>
  <si>
    <t>Current Skill Match</t>
  </si>
  <si>
    <t>SQL Focus Match</t>
  </si>
  <si>
    <t>Power BI Focus Match</t>
  </si>
  <si>
    <t>All Improved Match</t>
  </si>
  <si>
    <t>CAREER COMMAND CENTER</t>
  </si>
  <si>
    <t>Job Opportunity &amp; Interview Decision System</t>
  </si>
  <si>
    <t>TOTAL APPLICATIONS</t>
  </si>
  <si>
    <t>INTERVIEWS</t>
  </si>
  <si>
    <t>SELECTED</t>
  </si>
  <si>
    <t>REJECTED</t>
  </si>
  <si>
    <t>AVERAGE JOB SCORE</t>
  </si>
  <si>
    <t>AVERAGE SKILL MATCH</t>
  </si>
  <si>
    <t>JOB RECOMMENDATION</t>
  </si>
  <si>
    <t>Skill Match</t>
  </si>
  <si>
    <t>TOP RECOMMENDED JOB</t>
  </si>
  <si>
    <t>Applications → Track job applications and status</t>
  </si>
  <si>
    <t>Job Database → Compare opportunities and job scores</t>
  </si>
  <si>
    <t>Skill Database → Identify skill gaps</t>
  </si>
  <si>
    <t>What-If Analysis → Test the impact of improving skills</t>
  </si>
  <si>
    <t>Dashboard → Make data-driven career decisions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</si>
</sst>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sz val="11"/>
      <color theme="1"/>
      <name val="Aptos Narrow"/>
      <family val="2"/>
      <scheme val="minor"/>
    </font>
    <font>
      <b/>
      <sz val="11"/>
      <color theme="1"/>
      <name val="Aptos Narrow"/>
      <family val="2"/>
      <scheme val="minor"/>
    </font>
    <font>
      <sz val="10"/>
      <color theme="1"/>
      <name val="Arial Unicode MS"/>
    </font>
    <font>
      <b/>
      <sz val="20"/>
      <color theme="1"/>
      <name val="Aptos Narrow"/>
      <family val="2"/>
      <scheme val="minor"/>
    </font>
    <font>
      <b/>
      <sz val="16"/>
      <color theme="1"/>
      <name val="Aptos Narrow"/>
      <family val="2"/>
      <scheme val="minor"/>
    </font>
  </fonts>
  <fills count="2">
    <fill>
      <patternFill patternType="none"/>
    </fill>
    <fill>
      <patternFill patternType="gray125"/>
    </fill>
  </fills>
  <borders count="2">
    <border>
      <left/>
      <right/>
      <top/>
      <bottom/>
      <diagonal/>
    </border>
    <border>
      <left/>
      <right/>
      <top style="thin">
        <color theme="4" tint="0.39997558519241921"/>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22">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right" vertical="center" wrapText="1"/>
    </xf>
    <xf numFmtId="0" fontId="2" fillId="0" borderId="0" xfId="0" applyFont="1" applyAlignment="1">
      <alignment horizontal="right" vertical="center" wrapText="1"/>
    </xf>
    <xf numFmtId="9" fontId="0" fillId="0" borderId="0" xfId="1" applyFont="1" applyAlignment="1">
      <alignment vertical="center" wrapText="1"/>
    </xf>
    <xf numFmtId="9" fontId="0" fillId="0" borderId="0" xfId="0" applyNumberFormat="1" applyAlignment="1">
      <alignment vertical="center" wrapText="1"/>
    </xf>
    <xf numFmtId="2" fontId="0" fillId="0" borderId="0" xfId="0" applyNumberFormat="1" applyAlignment="1">
      <alignment vertical="center" wrapText="1"/>
    </xf>
    <xf numFmtId="0" fontId="0" fillId="0" borderId="1" xfId="0" applyBorder="1" applyAlignment="1">
      <alignment vertical="center" wrapText="1"/>
    </xf>
    <xf numFmtId="14" fontId="0" fillId="0" borderId="0" xfId="0" applyNumberFormat="1"/>
    <xf numFmtId="14" fontId="0" fillId="0" borderId="0" xfId="0" applyNumberFormat="1" applyAlignment="1">
      <alignment vertical="center" wrapText="1"/>
    </xf>
    <xf numFmtId="2" fontId="0" fillId="0" borderId="0" xfId="0" applyNumberFormat="1"/>
    <xf numFmtId="0" fontId="2" fillId="0" borderId="0" xfId="0" applyFont="1"/>
    <xf numFmtId="0" fontId="0" fillId="0" borderId="0" xfId="0" pivotButton="1"/>
    <xf numFmtId="0" fontId="0" fillId="0" borderId="0" xfId="0" applyAlignment="1">
      <alignment horizontal="left"/>
    </xf>
    <xf numFmtId="0" fontId="2" fillId="0" borderId="0" xfId="0" applyFont="1" applyAlignment="1">
      <alignment vertical="center" wrapText="1"/>
    </xf>
    <xf numFmtId="10" fontId="0" fillId="0" borderId="0" xfId="0" applyNumberFormat="1"/>
    <xf numFmtId="0" fontId="3" fillId="0" borderId="0" xfId="0" applyFont="1" applyAlignment="1">
      <alignment vertical="center" wrapText="1"/>
    </xf>
    <xf numFmtId="0" fontId="4" fillId="0" borderId="0" xfId="0" applyFont="1"/>
    <xf numFmtId="0" fontId="5" fillId="0" borderId="0" xfId="0" applyFont="1"/>
    <xf numFmtId="9" fontId="5" fillId="0" borderId="0" xfId="0" applyNumberFormat="1" applyFont="1"/>
    <xf numFmtId="2" fontId="5" fillId="0" borderId="0" xfId="0" applyNumberFormat="1" applyFont="1"/>
  </cellXfs>
  <cellStyles count="2">
    <cellStyle name="Normal" xfId="0" builtinId="0"/>
    <cellStyle name="Percent" xfId="1" builtinId="5"/>
  </cellStyles>
  <dxfs count="41">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5700"/>
      </font>
      <fill>
        <patternFill>
          <bgColor rgb="FFFFEB9C"/>
        </patternFill>
      </fill>
    </dxf>
    <dxf>
      <font>
        <color rgb="FF9C5700"/>
      </font>
      <fill>
        <patternFill>
          <bgColor rgb="FFFFEB9C"/>
        </patternFill>
      </fill>
    </dxf>
    <dxf>
      <border>
        <left style="thin">
          <color rgb="FF9C0006"/>
        </left>
        <right style="thin">
          <color rgb="FF9C0006"/>
        </right>
        <top style="thin">
          <color rgb="FF9C0006"/>
        </top>
        <bottom style="thin">
          <color rgb="FF9C0006"/>
        </bottom>
      </border>
    </dxf>
    <dxf>
      <font>
        <color rgb="FF006100"/>
      </font>
      <fill>
        <patternFill>
          <bgColor rgb="FFC6EFCE"/>
        </patternFill>
      </fill>
    </dxf>
    <dxf>
      <font>
        <color rgb="FF9C5700"/>
      </font>
      <fill>
        <patternFill>
          <bgColor rgb="FFFFEB9C"/>
        </patternFill>
      </fill>
    </dxf>
    <dxf>
      <fill>
        <patternFill>
          <bgColor rgb="FFFFC7CE"/>
        </patternFill>
      </fill>
    </dxf>
    <dxf>
      <font>
        <color rgb="FF006100"/>
      </font>
      <fill>
        <patternFill>
          <bgColor rgb="FFC6EFCE"/>
        </patternFill>
      </fill>
    </dxf>
    <dxf>
      <numFmt numFmtId="0" formatCode="General"/>
    </dxf>
    <dxf>
      <numFmt numFmtId="0" formatCode="General"/>
    </dxf>
    <dxf>
      <numFmt numFmtId="19" formatCode="dd/mm/yyyy"/>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numFmt numFmtId="0" formatCode="General"/>
      <alignment horizontal="general" vertical="center" textRotation="0" wrapText="1" indent="0" justifyLastLine="0" shrinkToFit="0" readingOrder="0"/>
    </dxf>
    <dxf>
      <numFmt numFmtId="2" formatCode="0.00"/>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numFmt numFmtId="13" formatCode="0%"/>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Excel Project.xlsx]PIVOT_ANALYSIS!PivotTable1</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25971867707223956"/>
          <c:y val="0.21342103578372801"/>
          <c:w val="0.33875447387258412"/>
          <c:h val="0.65150632629734873"/>
        </c:manualLayout>
      </c:layout>
      <c:doughnutChart>
        <c:varyColors val="1"/>
        <c:ser>
          <c:idx val="0"/>
          <c:order val="0"/>
          <c:tx>
            <c:strRef>
              <c:f>PIVOT_ANALYSIS!$B$3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DE6-475A-A98F-8AB8D8810EB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DE6-475A-A98F-8AB8D8810EB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DE6-475A-A98F-8AB8D8810EB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PIVOT_ANALYSIS!$A$4:$A$6</c:f>
              <c:strCache>
                <c:ptCount val="2"/>
                <c:pt idx="0">
                  <c:v>Interview</c:v>
                </c:pt>
                <c:pt idx="1">
                  <c:v>Rejected</c:v>
                </c:pt>
              </c:strCache>
            </c:strRef>
          </c:cat>
          <c:val>
            <c:numRef>
              <c:f>PIVOT_ANALYSIS!$B$4:$B$6</c:f>
              <c:numCache>
                <c:formatCode>General</c:formatCode>
                <c:ptCount val="2"/>
                <c:pt idx="0">
                  <c:v>1</c:v>
                </c:pt>
                <c:pt idx="1">
                  <c:v>1</c:v>
                </c:pt>
              </c:numCache>
            </c:numRef>
          </c:val>
          <c:extLst>
            <c:ext xmlns:c16="http://schemas.microsoft.com/office/drawing/2014/chart" uri="{C3380CC4-5D6E-409C-BE32-E72D297353CC}">
              <c16:uniqueId val="{00000006-DDE6-475A-A98F-8AB8D8810EB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Excel Project.xlsx]PIVOT_ROLE!PivotTable3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PIVOT_ROLE!$F$34</c:f>
              <c:strCache>
                <c:ptCount val="1"/>
                <c:pt idx="0">
                  <c:v>Total</c:v>
                </c:pt>
              </c:strCache>
            </c:strRef>
          </c:tx>
          <c:spPr>
            <a:solidFill>
              <a:schemeClr val="accent1"/>
            </a:solidFill>
            <a:ln>
              <a:noFill/>
            </a:ln>
            <a:effectLst/>
          </c:spPr>
          <c:invertIfNegative val="0"/>
          <c:cat>
            <c:strRef>
              <c:f>PIVOT_ROLE!$E$35:$E$39</c:f>
              <c:strCache>
                <c:ptCount val="4"/>
                <c:pt idx="0">
                  <c:v>Business Analyst</c:v>
                </c:pt>
                <c:pt idx="1">
                  <c:v>Data Analyst</c:v>
                </c:pt>
                <c:pt idx="2">
                  <c:v>Finance Analyst</c:v>
                </c:pt>
                <c:pt idx="3">
                  <c:v>MIS Analyst</c:v>
                </c:pt>
              </c:strCache>
            </c:strRef>
          </c:cat>
          <c:val>
            <c:numRef>
              <c:f>PIVOT_ROLE!$F$35:$F$39</c:f>
              <c:numCache>
                <c:formatCode>General</c:formatCode>
                <c:ptCount val="4"/>
                <c:pt idx="0">
                  <c:v>1</c:v>
                </c:pt>
                <c:pt idx="1">
                  <c:v>2</c:v>
                </c:pt>
                <c:pt idx="2">
                  <c:v>1</c:v>
                </c:pt>
                <c:pt idx="3">
                  <c:v>1</c:v>
                </c:pt>
              </c:numCache>
            </c:numRef>
          </c:val>
          <c:extLst>
            <c:ext xmlns:c16="http://schemas.microsoft.com/office/drawing/2014/chart" uri="{C3380CC4-5D6E-409C-BE32-E72D297353CC}">
              <c16:uniqueId val="{00000000-7C35-4530-8261-B179C4FD4068}"/>
            </c:ext>
          </c:extLst>
        </c:ser>
        <c:dLbls>
          <c:showLegendKey val="0"/>
          <c:showVal val="0"/>
          <c:showCatName val="0"/>
          <c:showSerName val="0"/>
          <c:showPercent val="0"/>
          <c:showBubbleSize val="0"/>
        </c:dLbls>
        <c:gapWidth val="219"/>
        <c:overlap val="-27"/>
        <c:axId val="849331743"/>
        <c:axId val="604927663"/>
      </c:barChart>
      <c:catAx>
        <c:axId val="849331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927663"/>
        <c:crosses val="autoZero"/>
        <c:auto val="1"/>
        <c:lblAlgn val="ctr"/>
        <c:lblOffset val="100"/>
        <c:noMultiLvlLbl val="0"/>
      </c:catAx>
      <c:valAx>
        <c:axId val="6049276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9331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MY SKILL LEVEL</a:t>
            </a:r>
            <a:r>
              <a:rPr lang="en-IN"/>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SKILL_DATABASE!$B$1</c:f>
              <c:strCache>
                <c:ptCount val="1"/>
                <c:pt idx="0">
                  <c:v>My Skill</c:v>
                </c:pt>
              </c:strCache>
            </c:strRef>
          </c:tx>
          <c:spPr>
            <a:solidFill>
              <a:schemeClr val="accent1"/>
            </a:solidFill>
            <a:ln>
              <a:noFill/>
            </a:ln>
            <a:effectLst/>
          </c:spPr>
          <c:invertIfNegative val="0"/>
          <c:cat>
            <c:strRef>
              <c:f>SKILL_DATABASE!$A$2:$A$6</c:f>
              <c:strCache>
                <c:ptCount val="5"/>
                <c:pt idx="0">
                  <c:v>Excel</c:v>
                </c:pt>
                <c:pt idx="1">
                  <c:v>SQL</c:v>
                </c:pt>
                <c:pt idx="2">
                  <c:v>Power BI</c:v>
                </c:pt>
                <c:pt idx="3">
                  <c:v>Python</c:v>
                </c:pt>
                <c:pt idx="4">
                  <c:v>AWS</c:v>
                </c:pt>
              </c:strCache>
            </c:strRef>
          </c:cat>
          <c:val>
            <c:numRef>
              <c:f>SKILL_DATABASE!$B$2:$B$6</c:f>
              <c:numCache>
                <c:formatCode>General</c:formatCode>
                <c:ptCount val="5"/>
                <c:pt idx="0">
                  <c:v>3</c:v>
                </c:pt>
                <c:pt idx="1">
                  <c:v>2</c:v>
                </c:pt>
                <c:pt idx="2">
                  <c:v>2</c:v>
                </c:pt>
                <c:pt idx="3">
                  <c:v>2</c:v>
                </c:pt>
                <c:pt idx="4">
                  <c:v>3</c:v>
                </c:pt>
              </c:numCache>
            </c:numRef>
          </c:val>
          <c:extLst>
            <c:ext xmlns:c16="http://schemas.microsoft.com/office/drawing/2014/chart" uri="{C3380CC4-5D6E-409C-BE32-E72D297353CC}">
              <c16:uniqueId val="{00000000-B561-4DFF-BCCF-E992C39A2658}"/>
            </c:ext>
          </c:extLst>
        </c:ser>
        <c:dLbls>
          <c:showLegendKey val="0"/>
          <c:showVal val="0"/>
          <c:showCatName val="0"/>
          <c:showSerName val="0"/>
          <c:showPercent val="0"/>
          <c:showBubbleSize val="0"/>
        </c:dLbls>
        <c:gapWidth val="219"/>
        <c:overlap val="-27"/>
        <c:axId val="775034015"/>
        <c:axId val="604914223"/>
      </c:barChart>
      <c:catAx>
        <c:axId val="77503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914223"/>
        <c:crosses val="autoZero"/>
        <c:auto val="1"/>
        <c:lblAlgn val="ctr"/>
        <c:lblOffset val="100"/>
        <c:noMultiLvlLbl val="0"/>
      </c:catAx>
      <c:valAx>
        <c:axId val="604914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03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SKILL DEMAND BY JOBS</a:t>
            </a:r>
            <a:endParaRPr lang="en-IN"/>
          </a:p>
        </c:rich>
      </c:tx>
      <c:layout>
        <c:manualLayout>
          <c:xMode val="edge"/>
          <c:yMode val="edge"/>
          <c:x val="0.2627602799650044"/>
          <c:y val="4.54868412746523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SKILL_DATABASE!$B$1</c:f>
              <c:strCache>
                <c:ptCount val="1"/>
                <c:pt idx="0">
                  <c:v>My Skill</c:v>
                </c:pt>
              </c:strCache>
            </c:strRef>
          </c:tx>
          <c:spPr>
            <a:solidFill>
              <a:schemeClr val="accent1"/>
            </a:solidFill>
            <a:ln>
              <a:noFill/>
            </a:ln>
            <a:effectLst/>
          </c:spPr>
          <c:invertIfNegative val="0"/>
          <c:cat>
            <c:strRef>
              <c:f>SKILL_DATABASE!$A$2:$A$6</c:f>
              <c:strCache>
                <c:ptCount val="5"/>
                <c:pt idx="0">
                  <c:v>Excel</c:v>
                </c:pt>
                <c:pt idx="1">
                  <c:v>SQL</c:v>
                </c:pt>
                <c:pt idx="2">
                  <c:v>Power BI</c:v>
                </c:pt>
                <c:pt idx="3">
                  <c:v>Python</c:v>
                </c:pt>
                <c:pt idx="4">
                  <c:v>AWS</c:v>
                </c:pt>
              </c:strCache>
            </c:strRef>
          </c:cat>
          <c:val>
            <c:numRef>
              <c:f>SKILL_DATABASE!$B$2:$B$6</c:f>
              <c:numCache>
                <c:formatCode>General</c:formatCode>
                <c:ptCount val="5"/>
                <c:pt idx="0">
                  <c:v>3</c:v>
                </c:pt>
                <c:pt idx="1">
                  <c:v>2</c:v>
                </c:pt>
                <c:pt idx="2">
                  <c:v>2</c:v>
                </c:pt>
                <c:pt idx="3">
                  <c:v>2</c:v>
                </c:pt>
                <c:pt idx="4">
                  <c:v>3</c:v>
                </c:pt>
              </c:numCache>
            </c:numRef>
          </c:val>
          <c:extLst>
            <c:ext xmlns:c16="http://schemas.microsoft.com/office/drawing/2014/chart" uri="{C3380CC4-5D6E-409C-BE32-E72D297353CC}">
              <c16:uniqueId val="{00000000-B939-427F-9700-3D7F524E003D}"/>
            </c:ext>
          </c:extLst>
        </c:ser>
        <c:ser>
          <c:idx val="1"/>
          <c:order val="1"/>
          <c:tx>
            <c:strRef>
              <c:f>SKILL_DATABASE!$C$1</c:f>
              <c:strCache>
                <c:ptCount val="1"/>
                <c:pt idx="0">
                  <c:v>Jobs Requiring Skill</c:v>
                </c:pt>
              </c:strCache>
            </c:strRef>
          </c:tx>
          <c:spPr>
            <a:solidFill>
              <a:schemeClr val="accent2"/>
            </a:solidFill>
            <a:ln>
              <a:noFill/>
            </a:ln>
            <a:effectLst/>
          </c:spPr>
          <c:invertIfNegative val="0"/>
          <c:cat>
            <c:strRef>
              <c:f>SKILL_DATABASE!$A$2:$A$6</c:f>
              <c:strCache>
                <c:ptCount val="5"/>
                <c:pt idx="0">
                  <c:v>Excel</c:v>
                </c:pt>
                <c:pt idx="1">
                  <c:v>SQL</c:v>
                </c:pt>
                <c:pt idx="2">
                  <c:v>Power BI</c:v>
                </c:pt>
                <c:pt idx="3">
                  <c:v>Python</c:v>
                </c:pt>
                <c:pt idx="4">
                  <c:v>AWS</c:v>
                </c:pt>
              </c:strCache>
            </c:strRef>
          </c:cat>
          <c:val>
            <c:numRef>
              <c:f>SKILL_DATABASE!$C$2:$C$6</c:f>
              <c:numCache>
                <c:formatCode>General</c:formatCode>
                <c:ptCount val="5"/>
                <c:pt idx="0">
                  <c:v>5</c:v>
                </c:pt>
                <c:pt idx="1">
                  <c:v>5</c:v>
                </c:pt>
                <c:pt idx="2">
                  <c:v>5</c:v>
                </c:pt>
                <c:pt idx="3">
                  <c:v>2</c:v>
                </c:pt>
                <c:pt idx="4">
                  <c:v>0</c:v>
                </c:pt>
              </c:numCache>
            </c:numRef>
          </c:val>
          <c:extLst>
            <c:ext xmlns:c16="http://schemas.microsoft.com/office/drawing/2014/chart" uri="{C3380CC4-5D6E-409C-BE32-E72D297353CC}">
              <c16:uniqueId val="{00000001-B939-427F-9700-3D7F524E003D}"/>
            </c:ext>
          </c:extLst>
        </c:ser>
        <c:dLbls>
          <c:showLegendKey val="0"/>
          <c:showVal val="0"/>
          <c:showCatName val="0"/>
          <c:showSerName val="0"/>
          <c:showPercent val="0"/>
          <c:showBubbleSize val="0"/>
        </c:dLbls>
        <c:gapWidth val="182"/>
        <c:axId val="854024911"/>
        <c:axId val="604901743"/>
      </c:barChart>
      <c:catAx>
        <c:axId val="8540249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901743"/>
        <c:crosses val="autoZero"/>
        <c:auto val="1"/>
        <c:lblAlgn val="ctr"/>
        <c:lblOffset val="100"/>
        <c:noMultiLvlLbl val="0"/>
      </c:catAx>
      <c:valAx>
        <c:axId val="6049017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40249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[Advanced Excel Project.xlsx]PIVOT_INTERVIEW!PivotTable4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PIVOT_INTERVIEW!$B$3</c:f>
              <c:strCache>
                <c:ptCount val="1"/>
                <c:pt idx="0">
                  <c:v>Average of Technical</c:v>
                </c:pt>
              </c:strCache>
            </c:strRef>
          </c:tx>
          <c:spPr>
            <a:solidFill>
              <a:schemeClr val="accent1"/>
            </a:solidFill>
            <a:ln>
              <a:noFill/>
            </a:ln>
            <a:effectLst/>
          </c:spPr>
          <c:invertIfNegative val="0"/>
          <c:cat>
            <c:strRef>
              <c:f>PIVOT_INTERVIEW!$A$4:$A$5</c:f>
              <c:strCache>
                <c:ptCount val="1"/>
                <c:pt idx="0">
                  <c:v>HR</c:v>
                </c:pt>
              </c:strCache>
            </c:strRef>
          </c:cat>
          <c:val>
            <c:numRef>
              <c:f>PIVOT_INTERVIEW!$B$4:$B$5</c:f>
              <c:numCache>
                <c:formatCode>General</c:formatCode>
                <c:ptCount val="1"/>
                <c:pt idx="0">
                  <c:v>70</c:v>
                </c:pt>
              </c:numCache>
            </c:numRef>
          </c:val>
          <c:extLst>
            <c:ext xmlns:c16="http://schemas.microsoft.com/office/drawing/2014/chart" uri="{C3380CC4-5D6E-409C-BE32-E72D297353CC}">
              <c16:uniqueId val="{00000000-012F-4D91-B16B-DBAE5E52499B}"/>
            </c:ext>
          </c:extLst>
        </c:ser>
        <c:ser>
          <c:idx val="1"/>
          <c:order val="1"/>
          <c:tx>
            <c:strRef>
              <c:f>PIVOT_INTERVIEW!$C$3</c:f>
              <c:strCache>
                <c:ptCount val="1"/>
                <c:pt idx="0">
                  <c:v>Average of Communication</c:v>
                </c:pt>
              </c:strCache>
            </c:strRef>
          </c:tx>
          <c:spPr>
            <a:solidFill>
              <a:schemeClr val="accent2"/>
            </a:solidFill>
            <a:ln>
              <a:noFill/>
            </a:ln>
            <a:effectLst/>
          </c:spPr>
          <c:invertIfNegative val="0"/>
          <c:cat>
            <c:strRef>
              <c:f>PIVOT_INTERVIEW!$A$4:$A$5</c:f>
              <c:strCache>
                <c:ptCount val="1"/>
                <c:pt idx="0">
                  <c:v>HR</c:v>
                </c:pt>
              </c:strCache>
            </c:strRef>
          </c:cat>
          <c:val>
            <c:numRef>
              <c:f>PIVOT_INTERVIEW!$C$4:$C$5</c:f>
              <c:numCache>
                <c:formatCode>General</c:formatCode>
                <c:ptCount val="1"/>
                <c:pt idx="0">
                  <c:v>75</c:v>
                </c:pt>
              </c:numCache>
            </c:numRef>
          </c:val>
          <c:extLst>
            <c:ext xmlns:c16="http://schemas.microsoft.com/office/drawing/2014/chart" uri="{C3380CC4-5D6E-409C-BE32-E72D297353CC}">
              <c16:uniqueId val="{00000001-012F-4D91-B16B-DBAE5E52499B}"/>
            </c:ext>
          </c:extLst>
        </c:ser>
        <c:ser>
          <c:idx val="2"/>
          <c:order val="2"/>
          <c:tx>
            <c:strRef>
              <c:f>PIVOT_INTERVIEW!$D$3</c:f>
              <c:strCache>
                <c:ptCount val="1"/>
                <c:pt idx="0">
                  <c:v>Average of Overall Score</c:v>
                </c:pt>
              </c:strCache>
            </c:strRef>
          </c:tx>
          <c:spPr>
            <a:solidFill>
              <a:schemeClr val="accent3"/>
            </a:solidFill>
            <a:ln>
              <a:noFill/>
            </a:ln>
            <a:effectLst/>
          </c:spPr>
          <c:invertIfNegative val="0"/>
          <c:cat>
            <c:strRef>
              <c:f>PIVOT_INTERVIEW!$A$4:$A$5</c:f>
              <c:strCache>
                <c:ptCount val="1"/>
                <c:pt idx="0">
                  <c:v>HR</c:v>
                </c:pt>
              </c:strCache>
            </c:strRef>
          </c:cat>
          <c:val>
            <c:numRef>
              <c:f>PIVOT_INTERVIEW!$D$4:$D$5</c:f>
              <c:numCache>
                <c:formatCode>General</c:formatCode>
                <c:ptCount val="1"/>
                <c:pt idx="0">
                  <c:v>72.5</c:v>
                </c:pt>
              </c:numCache>
            </c:numRef>
          </c:val>
          <c:extLst>
            <c:ext xmlns:c16="http://schemas.microsoft.com/office/drawing/2014/chart" uri="{C3380CC4-5D6E-409C-BE32-E72D297353CC}">
              <c16:uniqueId val="{00000002-012F-4D91-B16B-DBAE5E52499B}"/>
            </c:ext>
          </c:extLst>
        </c:ser>
        <c:dLbls>
          <c:showLegendKey val="0"/>
          <c:showVal val="0"/>
          <c:showCatName val="0"/>
          <c:showSerName val="0"/>
          <c:showPercent val="0"/>
          <c:showBubbleSize val="0"/>
        </c:dLbls>
        <c:gapWidth val="219"/>
        <c:overlap val="-27"/>
        <c:axId val="775819919"/>
        <c:axId val="604930063"/>
      </c:barChart>
      <c:catAx>
        <c:axId val="77581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930063"/>
        <c:crosses val="autoZero"/>
        <c:auto val="1"/>
        <c:lblAlgn val="ctr"/>
        <c:lblOffset val="100"/>
        <c:noMultiLvlLbl val="0"/>
      </c:catAx>
      <c:valAx>
        <c:axId val="604930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581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JOB OPPORTUNITY SCORE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JOB_DATABASE!$R$1</c:f>
              <c:strCache>
                <c:ptCount val="1"/>
                <c:pt idx="0">
                  <c:v>Final Score</c:v>
                </c:pt>
              </c:strCache>
            </c:strRef>
          </c:tx>
          <c:spPr>
            <a:solidFill>
              <a:schemeClr val="accent1"/>
            </a:solidFill>
            <a:ln>
              <a:noFill/>
            </a:ln>
            <a:effectLst/>
          </c:spPr>
          <c:invertIfNegative val="0"/>
          <c:cat>
            <c:strRef>
              <c:f>JOB_DATABASE!$C$2:$C$6</c:f>
              <c:strCache>
                <c:ptCount val="5"/>
                <c:pt idx="0">
                  <c:v>Data Analyst</c:v>
                </c:pt>
                <c:pt idx="1">
                  <c:v>Business Analyst</c:v>
                </c:pt>
                <c:pt idx="2">
                  <c:v>Data Analyst</c:v>
                </c:pt>
                <c:pt idx="3">
                  <c:v>MIS Analyst</c:v>
                </c:pt>
                <c:pt idx="4">
                  <c:v>Finance Analyst</c:v>
                </c:pt>
              </c:strCache>
            </c:strRef>
          </c:cat>
          <c:val>
            <c:numRef>
              <c:f>JOB_DATABASE!$R$2:$R$6</c:f>
              <c:numCache>
                <c:formatCode>General</c:formatCode>
                <c:ptCount val="5"/>
                <c:pt idx="0">
                  <c:v>67.333333333333329</c:v>
                </c:pt>
                <c:pt idx="1">
                  <c:v>69.5</c:v>
                </c:pt>
                <c:pt idx="2">
                  <c:v>67.5</c:v>
                </c:pt>
                <c:pt idx="3">
                  <c:v>57.333333333333329</c:v>
                </c:pt>
                <c:pt idx="4">
                  <c:v>70.333333333333329</c:v>
                </c:pt>
              </c:numCache>
            </c:numRef>
          </c:val>
          <c:extLst>
            <c:ext xmlns:c16="http://schemas.microsoft.com/office/drawing/2014/chart" uri="{C3380CC4-5D6E-409C-BE32-E72D297353CC}">
              <c16:uniqueId val="{00000000-BAD5-4645-901E-C49213DE9220}"/>
            </c:ext>
          </c:extLst>
        </c:ser>
        <c:dLbls>
          <c:showLegendKey val="0"/>
          <c:showVal val="0"/>
          <c:showCatName val="0"/>
          <c:showSerName val="0"/>
          <c:showPercent val="0"/>
          <c:showBubbleSize val="0"/>
        </c:dLbls>
        <c:gapWidth val="182"/>
        <c:axId val="808924735"/>
        <c:axId val="604974703"/>
      </c:barChart>
      <c:catAx>
        <c:axId val="808924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974703"/>
        <c:crosses val="autoZero"/>
        <c:auto val="1"/>
        <c:lblAlgn val="ctr"/>
        <c:lblOffset val="100"/>
        <c:noMultiLvlLbl val="0"/>
      </c:catAx>
      <c:valAx>
        <c:axId val="6049747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8924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152400</xdr:colOff>
      <xdr:row>6</xdr:row>
      <xdr:rowOff>61912</xdr:rowOff>
    </xdr:from>
    <xdr:to>
      <xdr:col>13</xdr:col>
      <xdr:colOff>180975</xdr:colOff>
      <xdr:row>18</xdr:row>
      <xdr:rowOff>9525</xdr:rowOff>
    </xdr:to>
    <xdr:graphicFrame macro="">
      <xdr:nvGraphicFramePr>
        <xdr:cNvPr id="2" name="Chart 1">
          <a:extLst>
            <a:ext uri="{FF2B5EF4-FFF2-40B4-BE49-F238E27FC236}">
              <a16:creationId xmlns:a16="http://schemas.microsoft.com/office/drawing/2014/main" id="{EEC24973-B445-9DBE-415D-EA41CD19BF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495300</xdr:colOff>
      <xdr:row>7</xdr:row>
      <xdr:rowOff>123825</xdr:rowOff>
    </xdr:from>
    <xdr:to>
      <xdr:col>17</xdr:col>
      <xdr:colOff>504825</xdr:colOff>
      <xdr:row>15</xdr:row>
      <xdr:rowOff>95250</xdr:rowOff>
    </xdr:to>
    <xdr:graphicFrame macro="">
      <xdr:nvGraphicFramePr>
        <xdr:cNvPr id="3" name="Chart 1">
          <a:extLst>
            <a:ext uri="{FF2B5EF4-FFF2-40B4-BE49-F238E27FC236}">
              <a16:creationId xmlns:a16="http://schemas.microsoft.com/office/drawing/2014/main" id="{813E73FD-3AC0-372B-F1D5-46C6F646B2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314325</xdr:colOff>
      <xdr:row>20</xdr:row>
      <xdr:rowOff>61912</xdr:rowOff>
    </xdr:from>
    <xdr:to>
      <xdr:col>25</xdr:col>
      <xdr:colOff>104775</xdr:colOff>
      <xdr:row>30</xdr:row>
      <xdr:rowOff>161925</xdr:rowOff>
    </xdr:to>
    <xdr:graphicFrame macro="">
      <xdr:nvGraphicFramePr>
        <xdr:cNvPr id="4" name="Chart 1">
          <a:extLst>
            <a:ext uri="{FF2B5EF4-FFF2-40B4-BE49-F238E27FC236}">
              <a16:creationId xmlns:a16="http://schemas.microsoft.com/office/drawing/2014/main" id="{FBE0494D-304C-7045-10F1-A40D90F5AF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323850</xdr:colOff>
      <xdr:row>5</xdr:row>
      <xdr:rowOff>166687</xdr:rowOff>
    </xdr:from>
    <xdr:to>
      <xdr:col>24</xdr:col>
      <xdr:colOff>323850</xdr:colOff>
      <xdr:row>17</xdr:row>
      <xdr:rowOff>114300</xdr:rowOff>
    </xdr:to>
    <xdr:graphicFrame macro="">
      <xdr:nvGraphicFramePr>
        <xdr:cNvPr id="5" name="Chart 2">
          <a:extLst>
            <a:ext uri="{FF2B5EF4-FFF2-40B4-BE49-F238E27FC236}">
              <a16:creationId xmlns:a16="http://schemas.microsoft.com/office/drawing/2014/main" id="{0554FB08-6EA2-0FEF-48C0-45AD172763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38100</xdr:colOff>
      <xdr:row>22</xdr:row>
      <xdr:rowOff>128587</xdr:rowOff>
    </xdr:from>
    <xdr:to>
      <xdr:col>15</xdr:col>
      <xdr:colOff>47625</xdr:colOff>
      <xdr:row>34</xdr:row>
      <xdr:rowOff>19050</xdr:rowOff>
    </xdr:to>
    <xdr:graphicFrame macro="">
      <xdr:nvGraphicFramePr>
        <xdr:cNvPr id="6" name="Chart 1">
          <a:extLst>
            <a:ext uri="{FF2B5EF4-FFF2-40B4-BE49-F238E27FC236}">
              <a16:creationId xmlns:a16="http://schemas.microsoft.com/office/drawing/2014/main" id="{A2BBF3DA-73E2-0F9A-F270-2F43C79C61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3</xdr:col>
      <xdr:colOff>847725</xdr:colOff>
      <xdr:row>10</xdr:row>
      <xdr:rowOff>19050</xdr:rowOff>
    </xdr:from>
    <xdr:to>
      <xdr:col>6</xdr:col>
      <xdr:colOff>38100</xdr:colOff>
      <xdr:row>20</xdr:row>
      <xdr:rowOff>123825</xdr:rowOff>
    </xdr:to>
    <mc:AlternateContent xmlns:mc="http://schemas.openxmlformats.org/markup-compatibility/2006" xmlns:a14="http://schemas.microsoft.com/office/drawing/2010/main">
      <mc:Choice Requires="a14">
        <xdr:graphicFrame macro="">
          <xdr:nvGraphicFramePr>
            <xdr:cNvPr id="8" name="Status">
              <a:extLst>
                <a:ext uri="{FF2B5EF4-FFF2-40B4-BE49-F238E27FC236}">
                  <a16:creationId xmlns:a16="http://schemas.microsoft.com/office/drawing/2014/main" id="{9EB42347-D15F-4FA2-9D35-9428B03B3557}"/>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7058025" y="2295525"/>
              <a:ext cx="1847850" cy="2009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295275</xdr:colOff>
      <xdr:row>25</xdr:row>
      <xdr:rowOff>95250</xdr:rowOff>
    </xdr:from>
    <xdr:to>
      <xdr:col>8</xdr:col>
      <xdr:colOff>495300</xdr:colOff>
      <xdr:row>36</xdr:row>
      <xdr:rowOff>114300</xdr:rowOff>
    </xdr:to>
    <xdr:graphicFrame macro="">
      <xdr:nvGraphicFramePr>
        <xdr:cNvPr id="9" name="Chart 1">
          <a:extLst>
            <a:ext uri="{FF2B5EF4-FFF2-40B4-BE49-F238E27FC236}">
              <a16:creationId xmlns:a16="http://schemas.microsoft.com/office/drawing/2014/main" id="{87A90DD9-AF90-D529-3336-0826B0E9EF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RAM NIKESH" refreshedDate="46265.771672106479" createdVersion="8" refreshedVersion="8" minRefreshableVersion="3" recordCount="5" xr:uid="{B14DBD69-B773-4B4A-8959-13801AE989B9}">
  <cacheSource type="worksheet">
    <worksheetSource name="tblApplications"/>
  </cacheSource>
  <cacheFields count="10">
    <cacheField name="Application ID" numFmtId="0">
      <sharedItems/>
    </cacheField>
    <cacheField name="Job ID" numFmtId="0">
      <sharedItems/>
    </cacheField>
    <cacheField name="Company" numFmtId="0">
      <sharedItems/>
    </cacheField>
    <cacheField name="Job Role" numFmtId="0">
      <sharedItems count="4">
        <s v="Data Analyst"/>
        <s v="Business Analyst"/>
        <s v="MIS Analyst"/>
        <s v="Finance Analyst"/>
      </sharedItems>
    </cacheField>
    <cacheField name="Applied Date" numFmtId="14">
      <sharedItems containsSemiMixedTypes="0" containsNonDate="0" containsDate="1" containsString="0" minDate="2026-08-20T00:00:00" maxDate="2026-08-28T00:00:00"/>
    </cacheField>
    <cacheField name="Status" numFmtId="0">
      <sharedItems count="3">
        <s v="Applied"/>
        <s v="Interview"/>
        <s v="Rejected"/>
      </sharedItems>
    </cacheField>
    <cacheField name="Days Waiting" numFmtId="0">
      <sharedItems containsSemiMixedTypes="0" containsString="0" containsNumber="1" containsInteger="1" minValue="4" maxValue="11"/>
    </cacheField>
    <cacheField name="Follow Up" numFmtId="0">
      <sharedItems/>
    </cacheField>
    <cacheField name="Interview Date" numFmtId="0">
      <sharedItems containsNonDate="0" containsDate="1" containsString="0" containsBlank="1" minDate="2026-09-02T00:00:00" maxDate="2026-09-03T00:00:00"/>
    </cacheField>
    <cacheField name="Result" numFmtId="0">
      <sharedItems/>
    </cacheField>
  </cacheFields>
  <extLst>
    <ext xmlns:x14="http://schemas.microsoft.com/office/spreadsheetml/2009/9/main" uri="{725AE2AE-9491-48be-B2B4-4EB974FC3084}">
      <x14:pivotCacheDefinition pivotCacheId="858900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IRAM NIKESH" refreshedDate="46265.775257291665" createdVersion="8" refreshedVersion="8" minRefreshableVersion="3" recordCount="1" xr:uid="{57BB609E-194D-494E-95F5-C0EDB74CF581}">
  <cacheSource type="worksheet">
    <worksheetSource ref="A1:K2" sheet="INTERVIEWS"/>
  </cacheSource>
  <cacheFields count="11">
    <cacheField name="Interview ID" numFmtId="0">
      <sharedItems/>
    </cacheField>
    <cacheField name="Job ID" numFmtId="0">
      <sharedItems/>
    </cacheField>
    <cacheField name="Company" numFmtId="0">
      <sharedItems/>
    </cacheField>
    <cacheField name="Job Role" numFmtId="0">
      <sharedItems/>
    </cacheField>
    <cacheField name="Interview Date" numFmtId="14">
      <sharedItems containsSemiMixedTypes="0" containsNonDate="0" containsDate="1" containsString="0" minDate="2026-09-02T00:00:00" maxDate="2026-09-03T00:00:00"/>
    </cacheField>
    <cacheField name="Round" numFmtId="0">
      <sharedItems count="1">
        <s v="HR"/>
      </sharedItems>
    </cacheField>
    <cacheField name="Technical" numFmtId="0">
      <sharedItems containsSemiMixedTypes="0" containsString="0" containsNumber="1" containsInteger="1" minValue="70" maxValue="70"/>
    </cacheField>
    <cacheField name="Communication" numFmtId="0">
      <sharedItems containsSemiMixedTypes="0" containsString="0" containsNumber="1" containsInteger="1" minValue="75" maxValue="75"/>
    </cacheField>
    <cacheField name="Overall Score" numFmtId="0">
      <sharedItems containsSemiMixedTypes="0" containsString="0" containsNumber="1" minValue="72.5" maxValue="72.5"/>
    </cacheField>
    <cacheField name="Result" numFmtId="0">
      <sharedItems/>
    </cacheField>
    <cacheField name="Weak Area"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s v="A001"/>
    <s v="J001"/>
    <s v="ABC Tech"/>
    <x v="0"/>
    <d v="2026-08-20T00:00:00"/>
    <x v="0"/>
    <n v="11"/>
    <s v="FOLLOW UP"/>
    <m/>
    <s v="Pending"/>
  </r>
  <r>
    <s v="A002"/>
    <s v="J002"/>
    <s v="XYZ Ltd"/>
    <x v="1"/>
    <d v="2026-08-22T00:00:00"/>
    <x v="1"/>
    <n v="9"/>
    <s v="WAIT"/>
    <d v="2026-09-02T00:00:00"/>
    <s v="Pending"/>
  </r>
  <r>
    <s v="A003"/>
    <s v="J003"/>
    <s v="GreenCare"/>
    <x v="0"/>
    <d v="2026-08-24T00:00:00"/>
    <x v="0"/>
    <n v="7"/>
    <s v="FOLLOW UP"/>
    <m/>
    <s v="Pending"/>
  </r>
  <r>
    <s v="A004"/>
    <s v="J004"/>
    <s v="TechPro"/>
    <x v="2"/>
    <d v="2026-08-25T00:00:00"/>
    <x v="2"/>
    <n v="6"/>
    <s v="WAIT"/>
    <m/>
    <s v="Pending"/>
  </r>
  <r>
    <s v="A005"/>
    <s v="J005"/>
    <s v="FinServe"/>
    <x v="3"/>
    <d v="2026-08-27T00:00:00"/>
    <x v="0"/>
    <n v="4"/>
    <s v="WAIT"/>
    <m/>
    <s v="Pending"/>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
  <r>
    <s v="INT001"/>
    <s v="J002"/>
    <s v="XYZ Ltd"/>
    <s v="Business Analyst"/>
    <d v="2026-09-02T00:00:00"/>
    <x v="0"/>
    <n v="70"/>
    <n v="75"/>
    <n v="72.5"/>
    <s v="Pending"/>
    <s v="Technical"/>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050E6E-AB36-4474-81CD-8008132081D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0">
    <pivotField dataField="1" showAll="0"/>
    <pivotField showAll="0"/>
    <pivotField showAll="0"/>
    <pivotField showAll="0"/>
    <pivotField numFmtId="14" showAll="0"/>
    <pivotField axis="axisRow" showAll="0">
      <items count="4">
        <item h="1" x="0"/>
        <item x="1"/>
        <item x="2"/>
        <item t="default"/>
      </items>
    </pivotField>
    <pivotField showAll="0"/>
    <pivotField showAll="0"/>
    <pivotField showAll="0"/>
    <pivotField showAll="0"/>
  </pivotFields>
  <rowFields count="1">
    <field x="5"/>
  </rowFields>
  <rowItems count="3">
    <i>
      <x v="1"/>
    </i>
    <i>
      <x v="2"/>
    </i>
    <i t="grand">
      <x/>
    </i>
  </rowItems>
  <colItems count="1">
    <i/>
  </colItems>
  <dataFields count="1">
    <dataField name="Count of Application ID" fld="0" subtotal="count" baseField="0" baseItem="0"/>
  </dataFields>
  <chartFormats count="4">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5" count="1" selected="0">
            <x v="0"/>
          </reference>
        </references>
      </pivotArea>
    </chartFormat>
    <chartFormat chart="3" format="3">
      <pivotArea type="data" outline="0" fieldPosition="0">
        <references count="2">
          <reference field="4294967294" count="1" selected="0">
            <x v="0"/>
          </reference>
          <reference field="5" count="1" selected="0">
            <x v="1"/>
          </reference>
        </references>
      </pivotArea>
    </chartFormat>
    <chartFormat chart="3" format="4">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EB94C4-5606-4D8C-A408-F31617952F0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0">
    <pivotField dataField="1" showAll="0"/>
    <pivotField showAll="0"/>
    <pivotField showAll="0"/>
    <pivotField axis="axisRow" showAll="0">
      <items count="5">
        <item x="1"/>
        <item x="0"/>
        <item x="3"/>
        <item x="2"/>
        <item t="default"/>
      </items>
    </pivotField>
    <pivotField numFmtId="14"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Count of Application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01E859-FE3B-43E6-B3DE-FE8529053BF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34:F39" firstHeaderRow="1" firstDataRow="1" firstDataCol="1"/>
  <pivotFields count="10">
    <pivotField dataField="1" showAll="0"/>
    <pivotField showAll="0"/>
    <pivotField showAll="0"/>
    <pivotField axis="axisRow" showAll="0">
      <items count="5">
        <item x="1"/>
        <item x="0"/>
        <item x="3"/>
        <item x="2"/>
        <item t="default"/>
      </items>
    </pivotField>
    <pivotField numFmtId="14" showAll="0"/>
    <pivotField showAll="0"/>
    <pivotField showAll="0"/>
    <pivotField showAll="0"/>
    <pivotField showAll="0"/>
    <pivotField showAll="0"/>
  </pivotFields>
  <rowFields count="1">
    <field x="3"/>
  </rowFields>
  <rowItems count="5">
    <i>
      <x/>
    </i>
    <i>
      <x v="1"/>
    </i>
    <i>
      <x v="2"/>
    </i>
    <i>
      <x v="3"/>
    </i>
    <i t="grand">
      <x/>
    </i>
  </rowItems>
  <colItems count="1">
    <i/>
  </colItems>
  <dataFields count="1">
    <dataField name="Count of Application ID" fld="0"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31575E-6047-4784-A460-A831E646DAA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D5" firstHeaderRow="0" firstDataRow="1" firstDataCol="1"/>
  <pivotFields count="11">
    <pivotField showAll="0"/>
    <pivotField showAll="0"/>
    <pivotField showAll="0"/>
    <pivotField showAll="0"/>
    <pivotField numFmtId="14" showAll="0"/>
    <pivotField axis="axisRow" showAll="0">
      <items count="2">
        <item x="0"/>
        <item t="default"/>
      </items>
    </pivotField>
    <pivotField dataField="1" showAll="0"/>
    <pivotField dataField="1" showAll="0"/>
    <pivotField dataField="1" showAll="0"/>
    <pivotField showAll="0"/>
    <pivotField showAll="0"/>
  </pivotFields>
  <rowFields count="1">
    <field x="5"/>
  </rowFields>
  <rowItems count="2">
    <i>
      <x/>
    </i>
    <i t="grand">
      <x/>
    </i>
  </rowItems>
  <colFields count="1">
    <field x="-2"/>
  </colFields>
  <colItems count="3">
    <i>
      <x/>
    </i>
    <i i="1">
      <x v="1"/>
    </i>
    <i i="2">
      <x v="2"/>
    </i>
  </colItems>
  <dataFields count="3">
    <dataField name="Average of Technical" fld="6" subtotal="average" baseField="5" baseItem="0"/>
    <dataField name="Average of Communication" fld="7" subtotal="average" baseField="5" baseItem="0"/>
    <dataField name="Average of Overall Score" fld="8" subtotal="average" baseField="5" baseItem="0"/>
  </dataFields>
  <chartFormats count="3">
    <chartFormat chart="1"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1"/>
          </reference>
        </references>
      </pivotArea>
    </chartFormat>
    <chartFormat chart="1"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FC6051DA-DEB4-4041-BFFB-38FAE956881B}" sourceName="Status">
  <pivotTables>
    <pivotTable tabId="10" name="PivotTable1"/>
  </pivotTables>
  <data>
    <tabular pivotCacheId="8589008">
      <items count="3">
        <i x="0"/>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A42B0C26-43E7-454E-8F59-BD8687F5AD73}" cache="Slicer_Status" caption="Statu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8CB2E6-3AA7-45F6-97E1-0F2A10199183}" name="tblJobs" displayName="tblJobs" ref="A1:U6" totalsRowShown="0" headerRowDxfId="40" dataDxfId="39">
  <autoFilter ref="A1:U6" xr:uid="{188CB2E6-3AA7-45F6-97E1-0F2A10199183}"/>
  <tableColumns count="21">
    <tableColumn id="1" xr3:uid="{52E0CC48-BCDC-410B-97FE-BD3D057B29EA}" name="Job ID" dataDxfId="38"/>
    <tableColumn id="2" xr3:uid="{212490E3-275B-4314-A418-598494F418BB}" name="Company" dataDxfId="37"/>
    <tableColumn id="3" xr3:uid="{1F405552-E0EC-4205-AE2B-F1F76CA68B8B}" name="Job Role" dataDxfId="36"/>
    <tableColumn id="4" xr3:uid="{F8D7D82B-8218-4989-846A-1E56823C9808}" name="Industry" dataDxfId="35"/>
    <tableColumn id="5" xr3:uid="{0540FC24-4ED5-4205-8741-1C5973577E73}" name="Location" dataDxfId="34"/>
    <tableColumn id="6" xr3:uid="{6187EFFB-6456-46C3-9368-D6C15B6939A9}" name="Work Mode" dataDxfId="33"/>
    <tableColumn id="7" xr3:uid="{29703435-C3DA-40CF-82A1-611FB15555B7}" name="Salary" dataDxfId="32"/>
    <tableColumn id="8" xr3:uid="{049E60B5-A0F9-4718-9EC3-58A68D071339}" name="Status" dataDxfId="31"/>
    <tableColumn id="9" xr3:uid="{6D2F97C0-FEFB-4D6B-8C47-FFAF308BDF49}" name="Salary Score" dataDxfId="30">
      <calculatedColumnFormula>IF(G2&gt;=500000,30,IF(G2&gt;=400000,20,10))</calculatedColumnFormula>
    </tableColumn>
    <tableColumn id="10" xr3:uid="{7093F6C5-0D1A-4C3D-81F3-B4E302F7CC6B}" name="Excel"/>
    <tableColumn id="11" xr3:uid="{3F464D22-5D8D-4F5F-A28A-FA4949D71DFE}" name="SQL" dataDxfId="29"/>
    <tableColumn id="12" xr3:uid="{3EDC95EB-5A01-4943-857C-C3A56EFBD4C6}" name="Power BI" dataDxfId="28"/>
    <tableColumn id="13" xr3:uid="{24715D3C-4E58-4644-9DBF-B50761F0244E}" name="Python" dataDxfId="27"/>
    <tableColumn id="14" xr3:uid="{AABDFA66-70DA-401F-B70F-0B6D3B487CB6}" name="AWS" dataDxfId="26"/>
    <tableColumn id="15" xr3:uid="{A5C3F838-3A2B-4869-A96C-4FC15AE18BDE}" name="Skill Match %" dataDxfId="25">
      <calculatedColumnFormula>SUM(J2*SKILL_DATABASE!$B$2,K2*SKILL_DATABASE!$B$3,L2*SKILL_DATABASE!$B$4,M2*SKILL_DATABASE!$B$5,N2*SKILL_DATABASE!$B$6)/(SUM(J2:N2)*3)</calculatedColumnFormula>
    </tableColumn>
    <tableColumn id="16" xr3:uid="{83D9BA90-D733-420F-BA04-DCFC919BD2FC}" name="Location Score" dataDxfId="24">
      <calculatedColumnFormula>IF(E2="Chennai",15,IF(E2="Coimbatore",15,IF(E2="Bangalore",10,5)))</calculatedColumnFormula>
    </tableColumn>
    <tableColumn id="17" xr3:uid="{99465981-204A-44DB-B3DB-E80FB0A36BF6}" name="Work Mode Score" dataDxfId="23">
      <calculatedColumnFormula>IF(F2="Remote",10,IF(F2="Hybrid",9,7))</calculatedColumnFormula>
    </tableColumn>
    <tableColumn id="18" xr3:uid="{A48AB7A6-C1B0-4B72-AD1D-351A8509CE20}" name="Final Score" dataDxfId="22">
      <calculatedColumnFormula>I2+(O2*30)+P2+Q2</calculatedColumnFormula>
    </tableColumn>
    <tableColumn id="19" xr3:uid="{933E078F-6085-42EE-813A-9EEAD9A488A1}" name="Learning Score" dataDxfId="21">
      <calculatedColumnFormula>IF(OR(C2="Data Analyst",C2="Business Analyst",C2="Finance Analyst"),15,10)</calculatedColumnFormula>
    </tableColumn>
    <tableColumn id="20" xr3:uid="{351F6732-9345-4A20-BCD8-FF0F835AA95F}" name="Final" dataDxfId="20">
      <calculatedColumnFormula>I2+(O2*30)+P2+Q2+S2</calculatedColumnFormula>
    </tableColumn>
    <tableColumn id="21" xr3:uid="{789252D6-444B-4107-84E0-382FBF2B5C18}" name="Recommendation" dataDxfId="19">
      <calculatedColumnFormula>IF(T2&gt;=80,"HIGH PRIORITY",IF(T2&gt;=60,"GOOD",IF(T2&gt;=40,"CONSIDER","LOW PRIORITY")))</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8CCF38-AD74-4A0D-ACB4-22409177C752}" name="tblApplications" displayName="tblApplications" ref="A1:J6" totalsRowShown="0" headerRowDxfId="18">
  <autoFilter ref="A1:J6" xr:uid="{4B8CCF38-AD74-4A0D-ACB4-22409177C752}"/>
  <tableColumns count="10">
    <tableColumn id="1" xr3:uid="{DB41BD13-8C66-4AA2-BF24-E000C93FBAB4}" name="Application ID" dataDxfId="17"/>
    <tableColumn id="2" xr3:uid="{1A86FBE5-DCAA-462D-B7F3-3CC80EB3258D}" name="Job ID" dataDxfId="16"/>
    <tableColumn id="3" xr3:uid="{45D1CC04-8066-4BBF-8733-6066CCA55587}" name="Company"/>
    <tableColumn id="4" xr3:uid="{F5D56E26-1B99-47BB-83E6-34CC14C24ABA}" name="Job Role"/>
    <tableColumn id="5" xr3:uid="{D7899899-9BAF-4715-81C2-F56605FEACC9}" name="Applied Date" dataDxfId="15"/>
    <tableColumn id="6" xr3:uid="{B4E423AA-1BE5-44FC-94CD-9B9CF7F5991C}" name="Status"/>
    <tableColumn id="7" xr3:uid="{346A25F4-0A46-4C6B-A96A-8DB83DDC4333}" name="Days Waiting" dataDxfId="14">
      <calculatedColumnFormula>TODAY()-E2</calculatedColumnFormula>
    </tableColumn>
    <tableColumn id="8" xr3:uid="{BC4CAD74-9D92-43C9-ACAD-C597A733A2C9}" name="Follow Up" dataDxfId="13">
      <calculatedColumnFormula>IF(AND(G2&gt;=7,F2="Applied"),"FOLLOW UP","WAIT")</calculatedColumnFormula>
    </tableColumn>
    <tableColumn id="9" xr3:uid="{F234AE25-9DA5-46BA-A292-02973763BEEF}" name="Interview Date"/>
    <tableColumn id="10" xr3:uid="{3AFDD7A4-1E61-4CA3-A809-78BD9EBC5A56}" name="Resul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12FF6-4616-47EE-B3D5-26908CDDD8BA}">
  <dimension ref="A1:H8"/>
  <sheetViews>
    <sheetView workbookViewId="0"/>
  </sheetViews>
  <sheetFormatPr defaultRowHeight="15"/>
  <cols>
    <col min="1" max="1" width="11" customWidth="1"/>
    <col min="2" max="2" width="15" customWidth="1"/>
    <col min="3" max="3" width="12.5703125" customWidth="1"/>
    <col min="4" max="4" width="12.28515625" customWidth="1"/>
    <col min="5" max="5" width="13.85546875" customWidth="1"/>
    <col min="6" max="6" width="14.28515625" customWidth="1"/>
    <col min="7" max="7" width="13.7109375" customWidth="1"/>
    <col min="8" max="8" width="13" customWidth="1"/>
  </cols>
  <sheetData>
    <row r="1" spans="1:8">
      <c r="A1" s="2"/>
      <c r="B1" s="2"/>
      <c r="C1" s="2"/>
      <c r="D1" s="2"/>
      <c r="E1" s="2"/>
      <c r="F1" s="2"/>
      <c r="G1" s="2"/>
      <c r="H1" s="2"/>
    </row>
    <row r="2" spans="1:8">
      <c r="A2" s="2"/>
      <c r="B2" s="2"/>
      <c r="C2" s="2"/>
      <c r="D2" s="2"/>
      <c r="E2" s="2"/>
      <c r="F2" s="2"/>
      <c r="G2" s="2"/>
      <c r="H2" s="2"/>
    </row>
    <row r="3" spans="1:8">
      <c r="A3" s="1"/>
      <c r="B3" s="1"/>
      <c r="C3" s="1"/>
      <c r="D3" s="1"/>
      <c r="E3" s="1"/>
      <c r="F3" s="1"/>
      <c r="G3" s="1"/>
      <c r="H3" s="1"/>
    </row>
    <row r="4" spans="1:8">
      <c r="A4" s="2"/>
      <c r="B4" s="2"/>
      <c r="C4" s="2"/>
      <c r="D4" s="2"/>
      <c r="E4" s="2"/>
      <c r="F4" s="2"/>
      <c r="G4" s="2"/>
      <c r="H4" s="2"/>
    </row>
    <row r="5" spans="1:8">
      <c r="A5" s="2"/>
      <c r="B5" s="2"/>
      <c r="C5" s="2"/>
      <c r="D5" s="2"/>
      <c r="E5" s="2"/>
      <c r="F5" s="2"/>
      <c r="G5" s="2"/>
      <c r="H5" s="2"/>
    </row>
    <row r="6" spans="1:8">
      <c r="A6" s="2"/>
      <c r="B6" s="2"/>
      <c r="C6" s="2"/>
      <c r="D6" s="2"/>
      <c r="E6" s="2"/>
      <c r="F6" s="2"/>
      <c r="G6" s="2"/>
      <c r="H6" s="2"/>
    </row>
    <row r="7" spans="1:8">
      <c r="A7" s="2"/>
      <c r="B7" s="2"/>
      <c r="C7" s="2"/>
      <c r="D7" s="2"/>
      <c r="E7" s="2"/>
      <c r="F7" s="2"/>
      <c r="G7" s="2"/>
      <c r="H7" s="2"/>
    </row>
    <row r="8" spans="1:8">
      <c r="A8" s="2"/>
      <c r="B8" s="2"/>
      <c r="C8" s="2"/>
      <c r="D8" s="2"/>
      <c r="E8" s="2"/>
      <c r="F8" s="2"/>
      <c r="G8" s="2"/>
      <c r="H8" s="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C5ADC-22D0-41A1-8363-1F6C1D7F205A}">
  <dimension ref="A1:U6"/>
  <sheetViews>
    <sheetView workbookViewId="0">
      <selection activeCell="E9" sqref="E9"/>
    </sheetView>
  </sheetViews>
  <sheetFormatPr defaultRowHeight="15"/>
  <cols>
    <col min="1" max="1" width="16.85546875" customWidth="1"/>
    <col min="2" max="2" width="18.85546875" customWidth="1"/>
    <col min="3" max="3" width="16.140625" customWidth="1"/>
    <col min="4" max="4" width="14.42578125" customWidth="1"/>
    <col min="5" max="5" width="15" customWidth="1"/>
    <col min="6" max="6" width="14.28515625" customWidth="1"/>
    <col min="7" max="7" width="16.42578125" customWidth="1"/>
    <col min="8" max="8" width="16.7109375" customWidth="1"/>
    <col min="20" max="20" width="11.5703125" bestFit="1" customWidth="1"/>
  </cols>
  <sheetData>
    <row r="1" spans="1:21" ht="45">
      <c r="A1" s="1" t="s">
        <v>0</v>
      </c>
      <c r="B1" s="1" t="s">
        <v>1</v>
      </c>
      <c r="C1" s="1" t="s">
        <v>2</v>
      </c>
      <c r="D1" s="1" t="s">
        <v>3</v>
      </c>
      <c r="E1" s="1" t="s">
        <v>4</v>
      </c>
      <c r="F1" s="1" t="s">
        <v>5</v>
      </c>
      <c r="G1" s="1" t="s">
        <v>6</v>
      </c>
      <c r="H1" s="1" t="s">
        <v>7</v>
      </c>
      <c r="I1" s="1" t="s">
        <v>43</v>
      </c>
      <c r="J1" s="1" t="s">
        <v>35</v>
      </c>
      <c r="K1" s="1" t="s">
        <v>36</v>
      </c>
      <c r="L1" s="1" t="s">
        <v>37</v>
      </c>
      <c r="M1" s="1" t="s">
        <v>38</v>
      </c>
      <c r="N1" s="1" t="s">
        <v>39</v>
      </c>
      <c r="O1" s="1" t="s">
        <v>42</v>
      </c>
      <c r="P1" s="1" t="s">
        <v>44</v>
      </c>
      <c r="Q1" s="1" t="s">
        <v>45</v>
      </c>
      <c r="R1" s="1" t="s">
        <v>46</v>
      </c>
      <c r="S1" s="1" t="s">
        <v>47</v>
      </c>
      <c r="T1" s="1" t="s">
        <v>48</v>
      </c>
      <c r="U1" s="1" t="s">
        <v>49</v>
      </c>
    </row>
    <row r="2" spans="1:21" ht="30">
      <c r="A2" s="2" t="s">
        <v>8</v>
      </c>
      <c r="B2" s="2" t="s">
        <v>9</v>
      </c>
      <c r="C2" s="2" t="s">
        <v>10</v>
      </c>
      <c r="D2" s="2" t="s">
        <v>11</v>
      </c>
      <c r="E2" s="2" t="s">
        <v>12</v>
      </c>
      <c r="F2" s="2" t="s">
        <v>13</v>
      </c>
      <c r="G2" s="2">
        <v>450000</v>
      </c>
      <c r="H2" s="2" t="s">
        <v>14</v>
      </c>
      <c r="I2" s="2">
        <f>IF(G2&gt;=500000,30,IF(G2&gt;=400000,20,10))</f>
        <v>20</v>
      </c>
      <c r="J2" s="2">
        <v>1</v>
      </c>
      <c r="K2" s="2">
        <v>1</v>
      </c>
      <c r="L2" s="2">
        <v>1</v>
      </c>
      <c r="M2" s="2">
        <v>0</v>
      </c>
      <c r="N2" s="2">
        <v>0</v>
      </c>
      <c r="O2" s="5">
        <f>SUM(J2*SKILL_DATABASE!$B$2,K2*SKILL_DATABASE!$B$3,L2*SKILL_DATABASE!$B$4,M2*SKILL_DATABASE!$B$5,N2*SKILL_DATABASE!$B$6)/(SUM(J2:N2)*3)</f>
        <v>0.77777777777777779</v>
      </c>
      <c r="P2" s="2">
        <f t="shared" ref="P2:P6" si="0">IF(E2="Chennai",15,IF(E2="Coimbatore",15,IF(E2="Bangalore",10,5)))</f>
        <v>15</v>
      </c>
      <c r="Q2" s="2">
        <f t="shared" ref="Q2:Q6" si="1">IF(F2="Remote",10,IF(F2="Hybrid",9,7))</f>
        <v>9</v>
      </c>
      <c r="R2" s="2">
        <f t="shared" ref="R2:R6" si="2">I2+(O2*30)+P2+Q2</f>
        <v>67.333333333333329</v>
      </c>
      <c r="S2" s="2">
        <f t="shared" ref="S2:S6" si="3">IF(OR(C2="Data Analyst",C2="Business Analyst",C2="Finance Analyst"),15,10)</f>
        <v>15</v>
      </c>
      <c r="T2" s="7">
        <f t="shared" ref="T2:T6" si="4">I2+(O2*30)+P2+Q2+S2</f>
        <v>82.333333333333329</v>
      </c>
      <c r="U2" s="2" t="str">
        <f t="shared" ref="U2:U6" si="5">IF(T2&gt;=80,"HIGH PRIORITY",IF(T2&gt;=60,"GOOD",IF(T2&gt;=40,"CONSIDER","LOW PRIORITY")))</f>
        <v>HIGH PRIORITY</v>
      </c>
    </row>
    <row r="3" spans="1:21" ht="30">
      <c r="A3" s="2" t="s">
        <v>15</v>
      </c>
      <c r="B3" s="2" t="s">
        <v>16</v>
      </c>
      <c r="C3" s="2" t="s">
        <v>17</v>
      </c>
      <c r="D3" s="2" t="s">
        <v>18</v>
      </c>
      <c r="E3" s="2" t="s">
        <v>19</v>
      </c>
      <c r="F3" s="2" t="s">
        <v>20</v>
      </c>
      <c r="G3" s="2">
        <v>500000</v>
      </c>
      <c r="H3" s="2" t="s">
        <v>21</v>
      </c>
      <c r="I3" s="2">
        <f t="shared" ref="I3:I6" si="6">IF(G3&gt;=500000,30,IF(G3&gt;=400000,20,10))</f>
        <v>30</v>
      </c>
      <c r="J3" s="2">
        <v>1</v>
      </c>
      <c r="K3" s="2">
        <v>1</v>
      </c>
      <c r="L3" s="2">
        <v>1</v>
      </c>
      <c r="M3" s="2">
        <v>1</v>
      </c>
      <c r="N3" s="2">
        <v>0</v>
      </c>
      <c r="O3" s="6">
        <f>SUM(J3*SKILL_DATABASE!$B$2,K3*SKILL_DATABASE!$B$3,L3*SKILL_DATABASE!$B$4,M3*SKILL_DATABASE!$B$5,N3*SKILL_DATABASE!$B$6)/(SUM(J3:N3)*3)</f>
        <v>0.75</v>
      </c>
      <c r="P3" s="2">
        <f t="shared" si="0"/>
        <v>10</v>
      </c>
      <c r="Q3" s="2">
        <f t="shared" si="1"/>
        <v>7</v>
      </c>
      <c r="R3" s="2">
        <f t="shared" si="2"/>
        <v>69.5</v>
      </c>
      <c r="S3" s="2">
        <f t="shared" si="3"/>
        <v>15</v>
      </c>
      <c r="T3" s="7">
        <f t="shared" si="4"/>
        <v>84.5</v>
      </c>
      <c r="U3" s="2" t="str">
        <f t="shared" si="5"/>
        <v>HIGH PRIORITY</v>
      </c>
    </row>
    <row r="4" spans="1:21" ht="30">
      <c r="A4" s="2" t="s">
        <v>22</v>
      </c>
      <c r="B4" s="2" t="s">
        <v>23</v>
      </c>
      <c r="C4" s="2" t="s">
        <v>10</v>
      </c>
      <c r="D4" s="2" t="s">
        <v>24</v>
      </c>
      <c r="E4" s="2" t="s">
        <v>25</v>
      </c>
      <c r="F4" s="2" t="s">
        <v>26</v>
      </c>
      <c r="G4" s="2">
        <v>400000</v>
      </c>
      <c r="H4" s="2" t="s">
        <v>27</v>
      </c>
      <c r="I4" s="2">
        <f t="shared" si="6"/>
        <v>20</v>
      </c>
      <c r="J4" s="2">
        <v>1</v>
      </c>
      <c r="K4" s="2">
        <v>1</v>
      </c>
      <c r="L4" s="2">
        <v>1</v>
      </c>
      <c r="M4" s="2">
        <v>1</v>
      </c>
      <c r="N4" s="2">
        <v>0</v>
      </c>
      <c r="O4" s="6">
        <f>SUM(J4*SKILL_DATABASE!$B$2,K4*SKILL_DATABASE!$B$3,L4*SKILL_DATABASE!$B$4,M4*SKILL_DATABASE!$B$5,N4*SKILL_DATABASE!$B$6)/(SUM(J4:N4)*3)</f>
        <v>0.75</v>
      </c>
      <c r="P4" s="2">
        <f t="shared" si="0"/>
        <v>15</v>
      </c>
      <c r="Q4" s="2">
        <f t="shared" si="1"/>
        <v>10</v>
      </c>
      <c r="R4" s="2">
        <f t="shared" si="2"/>
        <v>67.5</v>
      </c>
      <c r="S4" s="2">
        <f t="shared" si="3"/>
        <v>15</v>
      </c>
      <c r="T4" s="7">
        <f t="shared" si="4"/>
        <v>82.5</v>
      </c>
      <c r="U4" s="2" t="str">
        <f t="shared" si="5"/>
        <v>HIGH PRIORITY</v>
      </c>
    </row>
    <row r="5" spans="1:21">
      <c r="A5" s="2" t="s">
        <v>28</v>
      </c>
      <c r="B5" s="2" t="s">
        <v>29</v>
      </c>
      <c r="C5" s="2" t="s">
        <v>30</v>
      </c>
      <c r="D5" s="2" t="s">
        <v>31</v>
      </c>
      <c r="E5" s="2" t="s">
        <v>12</v>
      </c>
      <c r="F5" s="2" t="s">
        <v>13</v>
      </c>
      <c r="G5" s="2">
        <v>380000</v>
      </c>
      <c r="H5" s="2" t="s">
        <v>14</v>
      </c>
      <c r="I5" s="2">
        <f t="shared" si="6"/>
        <v>10</v>
      </c>
      <c r="J5" s="2">
        <v>1</v>
      </c>
      <c r="K5" s="2">
        <v>1</v>
      </c>
      <c r="L5" s="2">
        <v>1</v>
      </c>
      <c r="M5" s="2">
        <v>0</v>
      </c>
      <c r="N5" s="2">
        <v>0</v>
      </c>
      <c r="O5" s="6">
        <f>SUM(J5*SKILL_DATABASE!$B$2,K5*SKILL_DATABASE!$B$3,L5*SKILL_DATABASE!$B$4,M5*SKILL_DATABASE!$B$5,N5*SKILL_DATABASE!$B$6)/(SUM(J5:N5)*3)</f>
        <v>0.77777777777777779</v>
      </c>
      <c r="P5" s="2">
        <f t="shared" si="0"/>
        <v>15</v>
      </c>
      <c r="Q5" s="2">
        <f t="shared" si="1"/>
        <v>9</v>
      </c>
      <c r="R5" s="2">
        <f t="shared" si="2"/>
        <v>57.333333333333329</v>
      </c>
      <c r="S5" s="2">
        <f t="shared" si="3"/>
        <v>10</v>
      </c>
      <c r="T5" s="7">
        <f t="shared" si="4"/>
        <v>67.333333333333329</v>
      </c>
      <c r="U5" s="2" t="str">
        <f t="shared" si="5"/>
        <v>GOOD</v>
      </c>
    </row>
    <row r="6" spans="1:21" ht="30">
      <c r="A6" s="2" t="s">
        <v>32</v>
      </c>
      <c r="B6" s="2" t="s">
        <v>33</v>
      </c>
      <c r="C6" s="2" t="s">
        <v>34</v>
      </c>
      <c r="D6" s="2" t="s">
        <v>18</v>
      </c>
      <c r="E6" s="2" t="s">
        <v>19</v>
      </c>
      <c r="F6" s="2" t="s">
        <v>20</v>
      </c>
      <c r="G6" s="2">
        <v>550000</v>
      </c>
      <c r="H6" s="2" t="s">
        <v>27</v>
      </c>
      <c r="I6" s="2">
        <f t="shared" si="6"/>
        <v>30</v>
      </c>
      <c r="J6" s="2">
        <v>1</v>
      </c>
      <c r="K6" s="2">
        <v>1</v>
      </c>
      <c r="L6" s="2">
        <v>1</v>
      </c>
      <c r="M6" s="2">
        <v>0</v>
      </c>
      <c r="N6" s="2">
        <v>0</v>
      </c>
      <c r="O6" s="6">
        <f>SUM(J6*SKILL_DATABASE!$B$2,K6*SKILL_DATABASE!$B$3,L6*SKILL_DATABASE!$B$4,M6*SKILL_DATABASE!$B$5,N6*SKILL_DATABASE!$B$6)/(SUM(J6:N6)*3)</f>
        <v>0.77777777777777779</v>
      </c>
      <c r="P6" s="2">
        <f t="shared" si="0"/>
        <v>10</v>
      </c>
      <c r="Q6" s="2">
        <f t="shared" si="1"/>
        <v>7</v>
      </c>
      <c r="R6" s="2">
        <f t="shared" si="2"/>
        <v>70.333333333333329</v>
      </c>
      <c r="S6" s="2">
        <f t="shared" si="3"/>
        <v>15</v>
      </c>
      <c r="T6" s="7">
        <f t="shared" si="4"/>
        <v>85.333333333333329</v>
      </c>
      <c r="U6" s="2" t="str">
        <f t="shared" si="5"/>
        <v>HIGH PRIORITY</v>
      </c>
    </row>
  </sheetData>
  <conditionalFormatting sqref="H2:H6">
    <cfRule type="containsText" dxfId="12" priority="9" operator="containsText" text="Interview">
      <formula>NOT(ISERROR(SEARCH("Interview",H2)))</formula>
    </cfRule>
    <cfRule type="containsText" dxfId="11" priority="10" operator="containsText" text="Not applied">
      <formula>NOT(ISERROR(SEARCH("Not applied",H2)))</formula>
    </cfRule>
    <cfRule type="containsText" dxfId="10" priority="11" operator="containsText" text="Applied">
      <formula>NOT(ISERROR(SEARCH("Applied",H2)))</formula>
    </cfRule>
  </conditionalFormatting>
  <conditionalFormatting sqref="R12">
    <cfRule type="cellIs" dxfId="9" priority="5" operator="greaterThan">
      <formula>80</formula>
    </cfRule>
  </conditionalFormatting>
  <conditionalFormatting sqref="T2:T6">
    <cfRule type="cellIs" dxfId="8" priority="1" operator="between">
      <formula>40</formula>
      <formula>59</formula>
    </cfRule>
    <cfRule type="cellIs" dxfId="7" priority="2" operator="between">
      <formula>75</formula>
      <formula>81</formula>
    </cfRule>
    <cfRule type="cellIs" dxfId="6" priority="3" operator="between">
      <formula>60</formula>
      <formula>79</formula>
    </cfRule>
    <cfRule type="cellIs" dxfId="5" priority="4" operator="greaterThan">
      <formula>80</formula>
    </cfRule>
  </conditionalFormatting>
  <conditionalFormatting sqref="U2:U6">
    <cfRule type="containsText" dxfId="4" priority="6" operator="containsText" text="GOOD">
      <formula>NOT(ISERROR(SEARCH("GOOD",U2)))</formula>
    </cfRule>
    <cfRule type="containsText" dxfId="3" priority="7" operator="containsText" text="HIGH">
      <formula>NOT(ISERROR(SEARCH("HIGH",U2)))</formula>
    </cfRule>
    <cfRule type="containsText" dxfId="2" priority="8" operator="containsText" text="80–100 = HIGH PRIORITY">
      <formula>NOT(ISERROR(SEARCH("80–100 = HIGH PRIORITY",U2)))</formula>
    </cfRule>
  </conditionalFormatting>
  <dataValidations count="2">
    <dataValidation type="list" allowBlank="1" showInputMessage="1" showErrorMessage="1" sqref="H2:H6" xr:uid="{FF9380A0-0CED-4837-8671-7349CC878E47}">
      <formula1>$H$2:$H$6</formula1>
    </dataValidation>
    <dataValidation type="list" allowBlank="1" showInputMessage="1" showErrorMessage="1" sqref="F2:F6" xr:uid="{BCD68E66-9282-4896-AD1B-20F7102A503C}">
      <formula1>$F$2:$F$6</formula1>
    </dataValidation>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C7A61-ABA9-484A-948A-26A244213B51}">
  <dimension ref="A3:B6"/>
  <sheetViews>
    <sheetView workbookViewId="0">
      <selection activeCell="B6" sqref="B6"/>
    </sheetView>
  </sheetViews>
  <sheetFormatPr defaultRowHeight="15"/>
  <cols>
    <col min="1" max="1" width="13.42578125" bestFit="1" customWidth="1"/>
    <col min="2" max="2" width="22.28515625" bestFit="1" customWidth="1"/>
  </cols>
  <sheetData>
    <row r="3" spans="1:2">
      <c r="A3" s="13" t="s">
        <v>71</v>
      </c>
      <c r="B3" t="s">
        <v>73</v>
      </c>
    </row>
    <row r="4" spans="1:2">
      <c r="A4" s="14" t="s">
        <v>21</v>
      </c>
      <c r="B4">
        <v>1</v>
      </c>
    </row>
    <row r="5" spans="1:2">
      <c r="A5" s="14" t="s">
        <v>61</v>
      </c>
      <c r="B5">
        <v>1</v>
      </c>
    </row>
    <row r="6" spans="1:2">
      <c r="A6" s="14" t="s">
        <v>72</v>
      </c>
      <c r="B6">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D2296-2517-4AE1-84BE-1C3D3927EDE9}">
  <dimension ref="A3:B8"/>
  <sheetViews>
    <sheetView workbookViewId="0">
      <selection activeCell="C33" sqref="C33"/>
    </sheetView>
  </sheetViews>
  <sheetFormatPr defaultRowHeight="15"/>
  <cols>
    <col min="1" max="1" width="16" bestFit="1" customWidth="1"/>
    <col min="2" max="2" width="22.28515625" bestFit="1" customWidth="1"/>
  </cols>
  <sheetData>
    <row r="3" spans="1:2">
      <c r="A3" s="13" t="s">
        <v>71</v>
      </c>
      <c r="B3" t="s">
        <v>73</v>
      </c>
    </row>
    <row r="4" spans="1:2">
      <c r="A4" s="14" t="s">
        <v>17</v>
      </c>
      <c r="B4">
        <v>1</v>
      </c>
    </row>
    <row r="5" spans="1:2">
      <c r="A5" s="14" t="s">
        <v>10</v>
      </c>
      <c r="B5">
        <v>2</v>
      </c>
    </row>
    <row r="6" spans="1:2">
      <c r="A6" s="14" t="s">
        <v>34</v>
      </c>
      <c r="B6">
        <v>1</v>
      </c>
    </row>
    <row r="7" spans="1:2">
      <c r="A7" s="14" t="s">
        <v>30</v>
      </c>
      <c r="B7">
        <v>1</v>
      </c>
    </row>
    <row r="8" spans="1:2">
      <c r="A8" s="14" t="s">
        <v>72</v>
      </c>
      <c r="B8">
        <v>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39E0D-858A-4CE2-B397-86BCC16BCE0A}">
  <dimension ref="E34:F39"/>
  <sheetViews>
    <sheetView topLeftCell="A16" workbookViewId="0">
      <selection activeCell="E34" sqref="E34"/>
    </sheetView>
  </sheetViews>
  <sheetFormatPr defaultRowHeight="15"/>
  <cols>
    <col min="5" max="5" width="16" bestFit="1" customWidth="1"/>
    <col min="6" max="6" width="22.28515625" bestFit="1" customWidth="1"/>
  </cols>
  <sheetData>
    <row r="34" spans="5:6">
      <c r="E34" s="13" t="s">
        <v>71</v>
      </c>
      <c r="F34" t="s">
        <v>73</v>
      </c>
    </row>
    <row r="35" spans="5:6">
      <c r="E35" s="14" t="s">
        <v>17</v>
      </c>
      <c r="F35">
        <v>1</v>
      </c>
    </row>
    <row r="36" spans="5:6">
      <c r="E36" s="14" t="s">
        <v>10</v>
      </c>
      <c r="F36">
        <v>2</v>
      </c>
    </row>
    <row r="37" spans="5:6">
      <c r="E37" s="14" t="s">
        <v>34</v>
      </c>
      <c r="F37">
        <v>1</v>
      </c>
    </row>
    <row r="38" spans="5:6">
      <c r="E38" s="14" t="s">
        <v>30</v>
      </c>
      <c r="F38">
        <v>1</v>
      </c>
    </row>
    <row r="39" spans="5:6">
      <c r="E39" s="14" t="s">
        <v>72</v>
      </c>
      <c r="F39">
        <v>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3CDE1-F35D-42CF-B760-DA3C12ED5A42}">
  <dimension ref="A1:J11"/>
  <sheetViews>
    <sheetView workbookViewId="0">
      <selection activeCell="A3" sqref="A2:B3"/>
    </sheetView>
  </sheetViews>
  <sheetFormatPr defaultRowHeight="15"/>
  <cols>
    <col min="1" max="1" width="15.7109375" customWidth="1"/>
    <col min="3" max="4" width="19.7109375" customWidth="1"/>
    <col min="5" max="5" width="22.85546875" customWidth="1"/>
    <col min="6" max="6" width="14.42578125" customWidth="1"/>
    <col min="7" max="7" width="18.28515625" customWidth="1"/>
    <col min="8" max="8" width="17.5703125" customWidth="1"/>
    <col min="9" max="9" width="15" customWidth="1"/>
    <col min="10" max="10" width="14.5703125" customWidth="1"/>
  </cols>
  <sheetData>
    <row r="1" spans="1:10">
      <c r="A1" s="1" t="s">
        <v>50</v>
      </c>
      <c r="B1" s="1" t="s">
        <v>0</v>
      </c>
      <c r="C1" s="1" t="s">
        <v>1</v>
      </c>
      <c r="D1" s="1" t="s">
        <v>2</v>
      </c>
      <c r="E1" s="1" t="s">
        <v>51</v>
      </c>
      <c r="F1" s="1" t="s">
        <v>7</v>
      </c>
      <c r="G1" s="1" t="s">
        <v>52</v>
      </c>
      <c r="H1" s="1" t="s">
        <v>53</v>
      </c>
      <c r="I1" s="1" t="s">
        <v>54</v>
      </c>
      <c r="J1" s="1" t="s">
        <v>55</v>
      </c>
    </row>
    <row r="2" spans="1:10">
      <c r="A2" s="2" t="s">
        <v>56</v>
      </c>
      <c r="B2" s="2" t="s">
        <v>8</v>
      </c>
      <c r="C2" t="str">
        <f>_xlfn.XLOOKUP(B2,JOB_DATABASE!A:A,JOB_DATABASE!B:B,"Not Found")</f>
        <v>ABC Tech</v>
      </c>
      <c r="D2" t="str">
        <f>_xlfn.XLOOKUP(B2,JOB_DATABASE!A:A,JOB_DATABASE!C:C,"Not Found")</f>
        <v>Data Analyst</v>
      </c>
      <c r="E2" s="9">
        <v>46254</v>
      </c>
      <c r="F2" t="s">
        <v>14</v>
      </c>
      <c r="G2">
        <f t="shared" ref="G2:G6" ca="1" si="0">TODAY()-E2</f>
        <v>13</v>
      </c>
      <c r="H2" t="str">
        <f t="shared" ref="H2:H6" ca="1" si="1">IF(AND(G2&gt;=7,F2="Applied"),"FOLLOW UP","WAIT")</f>
        <v>FOLLOW UP</v>
      </c>
      <c r="J2" t="s">
        <v>62</v>
      </c>
    </row>
    <row r="3" spans="1:10">
      <c r="A3" s="2" t="s">
        <v>57</v>
      </c>
      <c r="B3" s="2" t="s">
        <v>15</v>
      </c>
      <c r="C3" s="8" t="s">
        <v>16</v>
      </c>
      <c r="D3" t="s">
        <v>17</v>
      </c>
      <c r="E3" s="9">
        <v>46256</v>
      </c>
      <c r="F3" t="s">
        <v>21</v>
      </c>
      <c r="G3">
        <f t="shared" ca="1" si="0"/>
        <v>11</v>
      </c>
      <c r="H3" t="str">
        <f t="shared" ca="1" si="1"/>
        <v>WAIT</v>
      </c>
      <c r="I3" s="9">
        <v>46267</v>
      </c>
      <c r="J3" t="s">
        <v>62</v>
      </c>
    </row>
    <row r="4" spans="1:10">
      <c r="A4" s="2" t="s">
        <v>58</v>
      </c>
      <c r="B4" s="2" t="s">
        <v>22</v>
      </c>
      <c r="C4" t="s">
        <v>23</v>
      </c>
      <c r="D4" t="s">
        <v>10</v>
      </c>
      <c r="E4" s="9">
        <v>46258</v>
      </c>
      <c r="F4" t="s">
        <v>14</v>
      </c>
      <c r="G4">
        <f t="shared" ca="1" si="0"/>
        <v>9</v>
      </c>
      <c r="H4" t="str">
        <f t="shared" ca="1" si="1"/>
        <v>FOLLOW UP</v>
      </c>
      <c r="J4" t="s">
        <v>62</v>
      </c>
    </row>
    <row r="5" spans="1:10">
      <c r="A5" s="2" t="s">
        <v>59</v>
      </c>
      <c r="B5" s="2" t="s">
        <v>28</v>
      </c>
      <c r="C5" s="8" t="s">
        <v>29</v>
      </c>
      <c r="D5" t="s">
        <v>30</v>
      </c>
      <c r="E5" s="10">
        <v>46259</v>
      </c>
      <c r="F5" t="s">
        <v>61</v>
      </c>
      <c r="G5">
        <f t="shared" ca="1" si="0"/>
        <v>8</v>
      </c>
      <c r="H5" t="str">
        <f t="shared" ca="1" si="1"/>
        <v>WAIT</v>
      </c>
      <c r="J5" t="s">
        <v>62</v>
      </c>
    </row>
    <row r="6" spans="1:10">
      <c r="A6" s="2" t="s">
        <v>60</v>
      </c>
      <c r="B6" s="2" t="s">
        <v>32</v>
      </c>
      <c r="C6" t="s">
        <v>33</v>
      </c>
      <c r="D6" s="2" t="s">
        <v>34</v>
      </c>
      <c r="E6" s="9">
        <v>46261</v>
      </c>
      <c r="F6" t="s">
        <v>14</v>
      </c>
      <c r="G6">
        <f t="shared" ca="1" si="0"/>
        <v>6</v>
      </c>
      <c r="H6" t="str">
        <f t="shared" ca="1" si="1"/>
        <v>WAIT</v>
      </c>
      <c r="J6" t="s">
        <v>62</v>
      </c>
    </row>
    <row r="7" spans="1:10">
      <c r="A7" s="2"/>
      <c r="B7" s="2"/>
    </row>
    <row r="8" spans="1:10">
      <c r="A8" s="2"/>
      <c r="B8" s="2"/>
    </row>
    <row r="9" spans="1:10">
      <c r="A9" s="2"/>
      <c r="B9" s="2"/>
    </row>
    <row r="10" spans="1:10">
      <c r="A10" s="2"/>
      <c r="B10" s="2"/>
    </row>
    <row r="11" spans="1:10">
      <c r="A11" s="2"/>
      <c r="B11" s="2"/>
    </row>
  </sheetData>
  <dataValidations count="1">
    <dataValidation type="list" allowBlank="1" showInputMessage="1" showErrorMessage="1" sqref="J2:J6" xr:uid="{96B32DD4-6019-425B-AF8F-6B6B514EE74C}">
      <formula1>"Pending,Selected,Rejected,On Hold"</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0062EF-B31B-4016-BEDD-708C0753DBE6}">
  <dimension ref="A3:D5"/>
  <sheetViews>
    <sheetView workbookViewId="0">
      <selection activeCell="A3" sqref="A3:D4"/>
    </sheetView>
  </sheetViews>
  <sheetFormatPr defaultRowHeight="15"/>
  <cols>
    <col min="1" max="1" width="13.42578125" bestFit="1" customWidth="1"/>
    <col min="2" max="2" width="19.7109375" bestFit="1" customWidth="1"/>
    <col min="3" max="3" width="25.85546875" bestFit="1" customWidth="1"/>
    <col min="4" max="4" width="23.28515625" bestFit="1" customWidth="1"/>
  </cols>
  <sheetData>
    <row r="3" spans="1:4">
      <c r="A3" s="13" t="s">
        <v>71</v>
      </c>
      <c r="B3" t="s">
        <v>74</v>
      </c>
      <c r="C3" t="s">
        <v>75</v>
      </c>
      <c r="D3" t="s">
        <v>76</v>
      </c>
    </row>
    <row r="4" spans="1:4">
      <c r="A4" s="14" t="s">
        <v>68</v>
      </c>
      <c r="B4">
        <v>70</v>
      </c>
      <c r="C4">
        <v>75</v>
      </c>
      <c r="D4">
        <v>72.5</v>
      </c>
    </row>
    <row r="5" spans="1:4">
      <c r="A5" s="14" t="s">
        <v>72</v>
      </c>
      <c r="B5">
        <v>70</v>
      </c>
      <c r="C5">
        <v>75</v>
      </c>
      <c r="D5">
        <v>72.5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20218-8755-4CE9-B662-CB82B463A80A}">
  <dimension ref="A1:K39"/>
  <sheetViews>
    <sheetView workbookViewId="0">
      <selection activeCell="H22" sqref="H22"/>
    </sheetView>
  </sheetViews>
  <sheetFormatPr defaultRowHeight="15"/>
  <cols>
    <col min="1" max="1" width="12.5703125" customWidth="1"/>
    <col min="2" max="2" width="14.7109375" customWidth="1"/>
    <col min="3" max="3" width="12.7109375" customWidth="1"/>
    <col min="4" max="4" width="15.140625" customWidth="1"/>
    <col min="5" max="5" width="14.7109375" customWidth="1"/>
    <col min="6" max="6" width="13.140625" customWidth="1"/>
    <col min="7" max="7" width="12.7109375" customWidth="1"/>
    <col min="8" max="8" width="15.5703125" customWidth="1"/>
    <col min="9" max="9" width="14.28515625" customWidth="1"/>
    <col min="10" max="10" width="11.42578125" customWidth="1"/>
  </cols>
  <sheetData>
    <row r="1" spans="1:11">
      <c r="A1" s="1" t="s">
        <v>63</v>
      </c>
      <c r="B1" s="1" t="s">
        <v>0</v>
      </c>
      <c r="C1" s="1" t="s">
        <v>1</v>
      </c>
      <c r="D1" s="1" t="s">
        <v>2</v>
      </c>
      <c r="E1" s="1" t="s">
        <v>54</v>
      </c>
      <c r="F1" s="1" t="s">
        <v>64</v>
      </c>
      <c r="G1" s="1" t="s">
        <v>65</v>
      </c>
      <c r="H1" s="1" t="s">
        <v>66</v>
      </c>
      <c r="I1" s="12" t="s">
        <v>69</v>
      </c>
      <c r="J1" s="12" t="s">
        <v>55</v>
      </c>
      <c r="K1" s="12" t="s">
        <v>70</v>
      </c>
    </row>
    <row r="2" spans="1:11" ht="30">
      <c r="A2" s="2" t="s">
        <v>67</v>
      </c>
      <c r="B2" s="2" t="s">
        <v>15</v>
      </c>
      <c r="C2" s="2" t="s">
        <v>16</v>
      </c>
      <c r="D2" s="2" t="s">
        <v>17</v>
      </c>
      <c r="E2" s="10">
        <v>46267</v>
      </c>
      <c r="F2" s="2" t="s">
        <v>68</v>
      </c>
      <c r="G2" s="2">
        <v>70</v>
      </c>
      <c r="H2" s="2">
        <v>75</v>
      </c>
      <c r="I2" s="2">
        <f>AVERAGE(G2:H2)</f>
        <v>72.5</v>
      </c>
      <c r="J2" t="s">
        <v>62</v>
      </c>
      <c r="K2" t="s">
        <v>65</v>
      </c>
    </row>
    <row r="34" spans="2:2">
      <c r="B34" s="2" t="s">
        <v>4</v>
      </c>
    </row>
    <row r="35" spans="2:2">
      <c r="B35" s="2" t="s">
        <v>5</v>
      </c>
    </row>
    <row r="36" spans="2:2">
      <c r="B36" s="2" t="s">
        <v>6</v>
      </c>
    </row>
    <row r="37" spans="2:2">
      <c r="B37" t="s">
        <v>100</v>
      </c>
    </row>
    <row r="38" spans="2:2">
      <c r="B38" t="s">
        <v>46</v>
      </c>
    </row>
    <row r="39" spans="2:2" ht="30">
      <c r="B39" s="2" t="s">
        <v>49</v>
      </c>
    </row>
  </sheetData>
  <dataValidations count="1">
    <dataValidation type="list" allowBlank="1" showInputMessage="1" showErrorMessage="1" sqref="J2" xr:uid="{836500AC-77E9-46DA-9E72-7B81A2409DE8}">
      <formula1>"Pending,Selected,Rejected,On Hold"</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DB1D48-A52E-4DD4-9DB9-A292E00C5772}">
  <dimension ref="B2:H56"/>
  <sheetViews>
    <sheetView topLeftCell="B5" workbookViewId="0">
      <selection activeCell="C28" sqref="C28"/>
    </sheetView>
  </sheetViews>
  <sheetFormatPr defaultRowHeight="15"/>
  <cols>
    <col min="2" max="2" width="66.7109375" customWidth="1"/>
    <col min="3" max="3" width="17.28515625" customWidth="1"/>
    <col min="4" max="4" width="21.5703125" customWidth="1"/>
  </cols>
  <sheetData>
    <row r="2" spans="2:8" ht="26.25">
      <c r="B2" s="18" t="s">
        <v>91</v>
      </c>
    </row>
    <row r="3" spans="2:8" ht="21">
      <c r="B3" s="19" t="s">
        <v>92</v>
      </c>
    </row>
    <row r="5" spans="2:8">
      <c r="B5" t="s">
        <v>93</v>
      </c>
      <c r="D5" t="s">
        <v>94</v>
      </c>
      <c r="F5" t="s">
        <v>95</v>
      </c>
      <c r="H5" t="s">
        <v>96</v>
      </c>
    </row>
    <row r="6" spans="2:8" ht="21">
      <c r="B6" s="19">
        <f>COUNTA(APPLICATIONS!A2:A100)</f>
        <v>5</v>
      </c>
      <c r="D6" s="19">
        <f>COUNTIF(APPLICATIONS!F2:F100,"Interview")</f>
        <v>1</v>
      </c>
      <c r="F6">
        <f>COUNTIF(APPLICATIONS!J2:J100,"Selected")</f>
        <v>0</v>
      </c>
      <c r="H6">
        <v>1</v>
      </c>
    </row>
    <row r="8" spans="2:8">
      <c r="B8" t="s">
        <v>97</v>
      </c>
      <c r="D8" t="s">
        <v>98</v>
      </c>
    </row>
    <row r="9" spans="2:8" ht="21">
      <c r="B9" s="21">
        <f>AVERAGE(JOB_DATABASE!T2:T100)</f>
        <v>80.399999999999991</v>
      </c>
      <c r="D9" s="20">
        <f>AVERAGE(JOB_DATABASE!O2:O100)</f>
        <v>0.76666666666666661</v>
      </c>
    </row>
    <row r="27" spans="2:3">
      <c r="B27" t="s">
        <v>99</v>
      </c>
    </row>
    <row r="29" spans="2:3">
      <c r="B29" t="s">
        <v>8</v>
      </c>
      <c r="C29" t="s">
        <v>28</v>
      </c>
    </row>
    <row r="31" spans="2:3">
      <c r="B31" t="s">
        <v>1</v>
      </c>
      <c r="C31" t="str">
        <f>_xlfn.XLOOKUP($C$29,JOB_DATABASE!$A:$A,JOB_DATABASE!$B:$B,"Not Found")</f>
        <v>TechPro</v>
      </c>
    </row>
    <row r="32" spans="2:3">
      <c r="B32" s="2" t="s">
        <v>2</v>
      </c>
      <c r="C32" t="str">
        <f>_xlfn.XLOOKUP($C$29,JOB_DATABASE!$A:$A,JOB_DATABASE!$C:$C,"Not Found")</f>
        <v>MIS Analyst</v>
      </c>
    </row>
    <row r="33" spans="2:3">
      <c r="B33" t="s">
        <v>3</v>
      </c>
      <c r="C33" t="str">
        <f>_xlfn.XLOOKUP($C$29,JOB_DATABASE!$A:$A,JOB_DATABASE!$D:$D,"Not Found")</f>
        <v>IT</v>
      </c>
    </row>
    <row r="34" spans="2:3">
      <c r="B34" s="2" t="s">
        <v>4</v>
      </c>
      <c r="C34" t="str">
        <f>_xlfn.XLOOKUP($C$29,JOB_DATABASE!$A:$A,JOB_DATABASE!$E:$E,"Not Found")</f>
        <v>Chennai</v>
      </c>
    </row>
    <row r="35" spans="2:3">
      <c r="B35" s="2" t="s">
        <v>5</v>
      </c>
      <c r="C35" t="str">
        <f>_xlfn.XLOOKUP($C$29,JOB_DATABASE!$A:$A,JOB_DATABASE!$F:$F,"Not Found")</f>
        <v>Hybrid</v>
      </c>
    </row>
    <row r="36" spans="2:3">
      <c r="B36" s="2" t="s">
        <v>6</v>
      </c>
      <c r="C36">
        <f>_xlfn.XLOOKUP($C$29,JOB_DATABASE!$A:$A,JOB_DATABASE!$G:$G,"Not Found")</f>
        <v>380000</v>
      </c>
    </row>
    <row r="37" spans="2:3">
      <c r="B37" t="s">
        <v>100</v>
      </c>
      <c r="C37">
        <f>_xlfn.XLOOKUP($C$29,JOB_DATABASE!$A:$A,JOB_DATABASE!$O:$O,"Not Found")</f>
        <v>0.77777777777777779</v>
      </c>
    </row>
    <row r="38" spans="2:3">
      <c r="B38" t="s">
        <v>46</v>
      </c>
      <c r="C38">
        <f>_xlfn.XLOOKUP($C$29,JOB_DATABASE!$A:$A,JOB_DATABASE!$T:$T,"Not Found")</f>
        <v>67.333333333333329</v>
      </c>
    </row>
    <row r="39" spans="2:3">
      <c r="B39" s="2" t="s">
        <v>49</v>
      </c>
      <c r="C39" t="str">
        <f>_xlfn.XLOOKUP($C$29,JOB_DATABASE!$A:$A,JOB_DATABASE!$U:$U,"Not Found")</f>
        <v>GOOD</v>
      </c>
    </row>
    <row r="42" spans="2:3">
      <c r="B42" s="12" t="s">
        <v>101</v>
      </c>
      <c r="C42" s="11"/>
    </row>
    <row r="43" spans="2:3">
      <c r="B43" s="11">
        <f>MAX(JOB_DATABASE!T2:T100)</f>
        <v>85.333333333333329</v>
      </c>
      <c r="C43" t="str">
        <f>INDEX(JOB_DATABASE!A2:A100,MATCH(B43,JOB_DATABASE!T2:T100,0))</f>
        <v>J005</v>
      </c>
    </row>
    <row r="44" spans="2:3" ht="21">
      <c r="B44" s="19" t="s">
        <v>1</v>
      </c>
      <c r="C44" t="str">
        <f>_xlfn.XLOOKUP($C$43,JOB_DATABASE!$A:$A,JOB_DATABASE!$B:$B,"Not Found")</f>
        <v>FinServe</v>
      </c>
    </row>
    <row r="45" spans="2:3">
      <c r="B45" t="s">
        <v>2</v>
      </c>
      <c r="C45" t="str">
        <f>_xlfn.XLOOKUP($C$43,JOB_DATABASE!$A:$A,JOB_DATABASE!$C:$C,"Not Found")</f>
        <v>Finance Analyst</v>
      </c>
    </row>
    <row r="46" spans="2:3">
      <c r="B46" t="s">
        <v>49</v>
      </c>
      <c r="C46" t="str">
        <f>_xlfn.XLOOKUP($C$43,JOB_DATABASE!$A:$A,JOB_DATABASE!$U:$U,"Not Found")</f>
        <v>HIGH PRIORITY</v>
      </c>
    </row>
    <row r="52" spans="2:2" ht="21">
      <c r="B52" s="19" t="s">
        <v>102</v>
      </c>
    </row>
    <row r="53" spans="2:2" ht="21">
      <c r="B53" s="19" t="s">
        <v>103</v>
      </c>
    </row>
    <row r="54" spans="2:2" ht="21">
      <c r="B54" s="19" t="s">
        <v>104</v>
      </c>
    </row>
    <row r="55" spans="2:2" ht="21">
      <c r="B55" s="19" t="s">
        <v>105</v>
      </c>
    </row>
    <row r="56" spans="2:2" ht="21">
      <c r="B56" s="19" t="s">
        <v>106</v>
      </c>
    </row>
  </sheetData>
  <conditionalFormatting sqref="C37">
    <cfRule type="dataBar" priority="2">
      <dataBar>
        <cfvo type="min"/>
        <cfvo type="max"/>
        <color rgb="FFFF555A"/>
      </dataBar>
      <extLst>
        <ext xmlns:x14="http://schemas.microsoft.com/office/spreadsheetml/2009/9/main" uri="{B025F937-C7B1-47D3-B67F-A62EFF666E3E}">
          <x14:id>{DD2762E0-DABA-4430-BAEB-CDA306C3D2B3}</x14:id>
        </ext>
      </extLst>
    </cfRule>
  </conditionalFormatting>
  <conditionalFormatting sqref="C38">
    <cfRule type="dataBar" priority="1">
      <dataBar>
        <cfvo type="min"/>
        <cfvo type="max"/>
        <color rgb="FF008AEF"/>
      </dataBar>
      <extLst>
        <ext xmlns:x14="http://schemas.microsoft.com/office/spreadsheetml/2009/9/main" uri="{B025F937-C7B1-47D3-B67F-A62EFF666E3E}">
          <x14:id>{C0AD17E0-2ED0-4B1B-AD29-AFEEDA38B685}</x14:id>
        </ext>
      </extLst>
    </cfRule>
  </conditionalFormatting>
  <conditionalFormatting sqref="C39">
    <cfRule type="containsText" dxfId="1" priority="4" operator="containsText" text="Good">
      <formula>NOT(ISERROR(SEARCH("Good",C39)))</formula>
    </cfRule>
    <cfRule type="containsText" dxfId="0" priority="5" operator="containsText" text="High">
      <formula>NOT(ISERROR(SEARCH("High",C39)))</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DD2762E0-DABA-4430-BAEB-CDA306C3D2B3}">
            <x14:dataBar minLength="0" maxLength="100" border="1" negativeBarBorderColorSameAsPositive="0">
              <x14:cfvo type="autoMin"/>
              <x14:cfvo type="autoMax"/>
              <x14:borderColor rgb="FFFF555A"/>
              <x14:negativeFillColor rgb="FFFF0000"/>
              <x14:negativeBorderColor rgb="FFFF0000"/>
              <x14:axisColor rgb="FF000000"/>
            </x14:dataBar>
          </x14:cfRule>
          <xm:sqref>C37</xm:sqref>
        </x14:conditionalFormatting>
        <x14:conditionalFormatting xmlns:xm="http://schemas.microsoft.com/office/excel/2006/main">
          <x14:cfRule type="dataBar" id="{C0AD17E0-2ED0-4B1B-AD29-AFEEDA38B685}">
            <x14:dataBar minLength="0" maxLength="100" gradient="0">
              <x14:cfvo type="autoMin"/>
              <x14:cfvo type="autoMax"/>
              <x14:negativeFillColor rgb="FFFF0000"/>
              <x14:axisColor rgb="FF000000"/>
            </x14:dataBar>
          </x14:cfRule>
          <xm:sqref>C38</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D8339E6-8453-4414-9D35-D03E9C99C4E5}">
          <x14:formula1>
            <xm:f>JOB_DATABASE!$A$2:$A$100</xm:f>
          </x14:formula1>
          <xm:sqref>B29</xm:sqref>
        </x14:dataValidation>
      </x14:dataValidations>
    </ex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A6D74-FD8C-44FF-97FE-6E987ADAEEFF}">
  <dimension ref="A1:E6"/>
  <sheetViews>
    <sheetView workbookViewId="0">
      <selection activeCell="G9" sqref="G9"/>
    </sheetView>
  </sheetViews>
  <sheetFormatPr defaultRowHeight="15"/>
  <cols>
    <col min="1" max="1" width="12.5703125" customWidth="1"/>
    <col min="2" max="2" width="14.42578125" customWidth="1"/>
    <col min="3" max="3" width="24.28515625" customWidth="1"/>
    <col min="4" max="4" width="13.42578125" customWidth="1"/>
    <col min="5" max="5" width="17.5703125" customWidth="1"/>
  </cols>
  <sheetData>
    <row r="1" spans="1:5">
      <c r="A1" s="1" t="s">
        <v>40</v>
      </c>
      <c r="B1" s="4" t="s">
        <v>41</v>
      </c>
      <c r="C1" s="15" t="s">
        <v>77</v>
      </c>
      <c r="D1" s="12" t="s">
        <v>78</v>
      </c>
      <c r="E1" s="12" t="s">
        <v>79</v>
      </c>
    </row>
    <row r="2" spans="1:5">
      <c r="A2" s="2" t="s">
        <v>35</v>
      </c>
      <c r="B2" s="3">
        <v>3</v>
      </c>
      <c r="C2" s="2">
        <f>SUM(JOB_DATABASE!J2:J6)</f>
        <v>5</v>
      </c>
      <c r="D2" t="str">
        <f>IF(AND(B2&lt;3,C2&gt;=3),"HIGH",IF(AND(B2&lt;3,C2&gt;=2),"MEDIUM","LOW"))</f>
        <v>LOW</v>
      </c>
      <c r="E2" t="str">
        <f>IF(D2="HIGH","LEARN NOW",IF(D2="MEDIUM","IMPROVE","MAINTAIN"))</f>
        <v>MAINTAIN</v>
      </c>
    </row>
    <row r="3" spans="1:5">
      <c r="A3" s="2" t="s">
        <v>36</v>
      </c>
      <c r="B3" s="3">
        <v>2</v>
      </c>
      <c r="C3" s="2">
        <f>SUM(JOB_DATABASE!K2:K6)</f>
        <v>5</v>
      </c>
      <c r="D3" t="str">
        <f t="shared" ref="D3:D6" si="0">IF(AND(B3&lt;3,C3&gt;=3),"HIGH",IF(AND(B3&lt;3,C3&gt;=2),"MEDIUM","LOW"))</f>
        <v>HIGH</v>
      </c>
      <c r="E3" t="str">
        <f t="shared" ref="E3:E6" si="1">IF(D3="HIGH","LEARN NOW",IF(D3="MEDIUM","IMPROVE","MAINTAIN"))</f>
        <v>LEARN NOW</v>
      </c>
    </row>
    <row r="4" spans="1:5">
      <c r="A4" s="2" t="s">
        <v>37</v>
      </c>
      <c r="B4" s="3">
        <v>2</v>
      </c>
      <c r="C4" s="2">
        <f>SUM(JOB_DATABASE!L2:L6)</f>
        <v>5</v>
      </c>
      <c r="D4" t="str">
        <f t="shared" si="0"/>
        <v>HIGH</v>
      </c>
      <c r="E4" t="str">
        <f t="shared" si="1"/>
        <v>LEARN NOW</v>
      </c>
    </row>
    <row r="5" spans="1:5">
      <c r="A5" s="2" t="s">
        <v>38</v>
      </c>
      <c r="B5" s="3">
        <v>2</v>
      </c>
      <c r="C5" s="2">
        <f>SUM(JOB_DATABASE!M2:M6)</f>
        <v>2</v>
      </c>
      <c r="D5" t="str">
        <f t="shared" si="0"/>
        <v>MEDIUM</v>
      </c>
      <c r="E5" t="str">
        <f t="shared" si="1"/>
        <v>IMPROVE</v>
      </c>
    </row>
    <row r="6" spans="1:5">
      <c r="A6" s="2" t="s">
        <v>39</v>
      </c>
      <c r="B6" s="3">
        <v>3</v>
      </c>
      <c r="C6" s="2">
        <f>SUM(JOB_DATABASE!N2:N6)</f>
        <v>0</v>
      </c>
      <c r="D6" t="str">
        <f t="shared" si="0"/>
        <v>LOW</v>
      </c>
      <c r="E6" t="str">
        <f t="shared" si="1"/>
        <v>MAINTAIN</v>
      </c>
    </row>
  </sheetData>
  <dataValidations count="2">
    <dataValidation type="list" allowBlank="1" showInputMessage="1" showErrorMessage="1" sqref="B3:B6" xr:uid="{4B95CAE0-2492-49F5-81E8-1466CA33F441}">
      <formula1>$B$2:$B$6</formula1>
    </dataValidation>
    <dataValidation type="list" allowBlank="1" showInputMessage="1" showErrorMessage="1" sqref="B2" xr:uid="{DE385ACD-86D5-4019-ACE8-15D1B5E45061}">
      <formula1>"0,1,2,3"</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CE6A4-C1E7-4633-8DD0-7CFC119DBFFF}">
  <dimension ref="A1:E13"/>
  <sheetViews>
    <sheetView tabSelected="1" workbookViewId="0">
      <selection activeCell="E3" sqref="E3"/>
    </sheetView>
  </sheetViews>
  <sheetFormatPr defaultRowHeight="15"/>
  <cols>
    <col min="1" max="1" width="21.28515625" customWidth="1"/>
    <col min="2" max="2" width="22.85546875" customWidth="1"/>
    <col min="3" max="3" width="16.140625" customWidth="1"/>
    <col min="4" max="4" width="18.28515625" customWidth="1"/>
    <col min="5" max="5" width="14.7109375" customWidth="1"/>
  </cols>
  <sheetData>
    <row r="1" spans="1:5">
      <c r="A1" s="2" t="s">
        <v>80</v>
      </c>
      <c r="B1" s="2" t="s">
        <v>36</v>
      </c>
      <c r="C1" s="2" t="s">
        <v>37</v>
      </c>
      <c r="D1" s="2" t="s">
        <v>38</v>
      </c>
      <c r="E1" s="12" t="s">
        <v>42</v>
      </c>
    </row>
    <row r="2" spans="1:5">
      <c r="A2" s="2" t="s">
        <v>81</v>
      </c>
      <c r="B2" s="2">
        <v>2</v>
      </c>
      <c r="C2" s="2">
        <v>2</v>
      </c>
      <c r="D2" s="2">
        <v>2</v>
      </c>
      <c r="E2" s="16">
        <f>SUM(B2:D2)/(3*3)</f>
        <v>0.66666666666666663</v>
      </c>
    </row>
    <row r="3" spans="1:5">
      <c r="A3" s="2" t="s">
        <v>82</v>
      </c>
      <c r="B3" s="2">
        <v>3</v>
      </c>
      <c r="C3" s="2">
        <v>2</v>
      </c>
      <c r="D3" s="2">
        <v>2</v>
      </c>
      <c r="E3" s="16">
        <f>SUM(B3:D3)/(3*3)</f>
        <v>0.77777777777777779</v>
      </c>
    </row>
    <row r="4" spans="1:5">
      <c r="A4" s="2" t="s">
        <v>83</v>
      </c>
      <c r="B4" s="2">
        <v>2</v>
      </c>
      <c r="C4" s="2">
        <v>3</v>
      </c>
      <c r="D4" s="2">
        <v>2</v>
      </c>
      <c r="E4" s="16">
        <f>SUM(B4:D4)/(3*3)</f>
        <v>0.77777777777777779</v>
      </c>
    </row>
    <row r="5" spans="1:5">
      <c r="A5" s="2" t="s">
        <v>84</v>
      </c>
      <c r="B5" s="2">
        <v>3</v>
      </c>
      <c r="C5" s="2">
        <v>3</v>
      </c>
      <c r="D5" s="2">
        <v>3</v>
      </c>
      <c r="E5" s="16">
        <f>SUM(B5:D5)/(3*3)</f>
        <v>1</v>
      </c>
    </row>
    <row r="7" spans="1:5">
      <c r="A7" s="17" t="s">
        <v>85</v>
      </c>
      <c r="B7" t="s">
        <v>15</v>
      </c>
    </row>
    <row r="8" spans="1:5">
      <c r="A8" s="17" t="s">
        <v>2</v>
      </c>
      <c r="B8" t="str">
        <f>_xlfn.XLOOKUP(B7,JOB_DATABASE!A:A,JOB_DATABASE!C:C,"Not Found")</f>
        <v>Business Analyst</v>
      </c>
    </row>
    <row r="9" spans="1:5">
      <c r="A9" s="17" t="s">
        <v>86</v>
      </c>
      <c r="B9" t="str" cm="1">
        <f t="array" ref="B9">_xlfn.TEXTJOIN(", ",TRUE,IF(JOB_DATABASE!J2:N2=1,JOB_DATABASE!J$1:N$1,""))</f>
        <v>Excel, SQL, Power BI</v>
      </c>
    </row>
    <row r="10" spans="1:5">
      <c r="A10" s="17" t="s">
        <v>87</v>
      </c>
      <c r="B10" s="16">
        <f>SUM(JOB_DATABASE!J2*SKILL_DATABASE!B2,JOB_DATABASE!K2*B2,JOB_DATABASE!L2*C2,JOB_DATABASE!M2*D2,JOB_DATABASE!N2*SKILL_DATABASE!B6)/(SUM(JOB_DATABASE!J2:N2)*3)</f>
        <v>0.77777777777777779</v>
      </c>
    </row>
    <row r="11" spans="1:5">
      <c r="A11" s="17" t="s">
        <v>88</v>
      </c>
      <c r="B11">
        <f>SUM(JOB_DATABASE!J2*SKILL_DATABASE!B2,JOB_DATABASE!K2*B3,JOB_DATABASE!L2*C3,JOB_DATABASE!M2*D3,JOB_DATABASE!N2*SKILL_DATABASE!B6)/(SUM(JOB_DATABASE!J2:N2)*3)</f>
        <v>0.88888888888888884</v>
      </c>
    </row>
    <row r="12" spans="1:5">
      <c r="A12" s="17" t="s">
        <v>89</v>
      </c>
      <c r="B12">
        <f>SUM(JOB_DATABASE!J2*SKILL_DATABASE!B2,JOB_DATABASE!K2*B4,JOB_DATABASE!L2*C4,JOB_DATABASE!M2*D4,JOB_DATABASE!N2*SKILL_DATABASE!B6)/(SUM(JOB_DATABASE!J2:N2)*3)</f>
        <v>0.88888888888888884</v>
      </c>
    </row>
    <row r="13" spans="1:5">
      <c r="A13" s="17" t="s">
        <v>90</v>
      </c>
      <c r="B13">
        <f>SUM(JOB_DATABASE!J2*SKILL_DATABASE!B2,JOB_DATABASE!K2*B5,JOB_DATABASE!L2*C5,JOB_DATABASE!M2*D5,JOB_DATABASE!N2*SKILL_DATABASE!B6)/(SUM(JOB_DATABASE!J2:N2)*3)</f>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HOME</vt:lpstr>
      <vt:lpstr>JOB_DATABASE</vt:lpstr>
      <vt:lpstr>PIVOT_ANALYSIS</vt:lpstr>
      <vt:lpstr>PIVOT_ANALYSIS1</vt:lpstr>
      <vt:lpstr>PIVOT_ROLE</vt:lpstr>
      <vt:lpstr>APPLICATIONS</vt:lpstr>
      <vt:lpstr>PIVOT_INTERVIEW</vt:lpstr>
      <vt:lpstr>INTERVIEWS</vt:lpstr>
      <vt:lpstr>DASHBOARD</vt:lpstr>
      <vt:lpstr>SKILL_DATABASE</vt:lpstr>
      <vt:lpstr>WHAT_IF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sairam nikesh</dc:creator>
  <cp:lastModifiedBy>sairam nikesh</cp:lastModifiedBy>
  <dcterms:created xsi:type="dcterms:W3CDTF">2026-08-31T12:09:02Z</dcterms:created>
  <dcterms:modified xsi:type="dcterms:W3CDTF">2026-09-02T05:06:27Z</dcterms:modified>
</cp:coreProperties>
</file>